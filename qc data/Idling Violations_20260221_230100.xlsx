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mc:AlternateContent xmlns:mc="http://schemas.openxmlformats.org/markup-compatibility/2006">
    <mc:Choice Requires="x15">
      <x15ac:absPath xmlns:x15ac="http://schemas.microsoft.com/office/spreadsheetml/2010/11/ac" url="C:\Users\Sanjaya\Downloads\"/>
    </mc:Choice>
  </mc:AlternateContent>
  <xr:revisionPtr revIDLastSave="0" documentId="13_ncr:1_{2569508F-0F21-4C44-8024-151670BD3FA0}" xr6:coauthVersionLast="47" xr6:coauthVersionMax="47" xr10:uidLastSave="{00000000-0000-0000-0000-000000000000}"/>
  <bookViews>
    <workbookView xWindow="28680" yWindow="-120" windowWidth="29040" windowHeight="15720" xr2:uid="{00000000-000D-0000-FFFF-FFFF00000000}"/>
  </bookViews>
  <sheets>
    <sheet name="Data" sheetId="1" r:id="rId1"/>
    <sheet name="Summary" sheetId="3" r:id="rId2"/>
    <sheet name="Report" sheetId="2" r:id="rId3"/>
    <sheet name="Graph" sheetId="5" state="hidden" r:id="rId4"/>
    <sheet name="Languages" sheetId="4" state="hidden" r:id="rId5"/>
  </sheets>
  <definedNames>
    <definedName name="AllData">Report!$A$9:$I$59</definedName>
  </definedNames>
  <calcPr calcId="191029"/>
  <pivotCaches>
    <pivotCache cacheId="4"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5" l="1"/>
  <c r="B7" i="5" s="1"/>
  <c r="B5" i="5"/>
  <c r="A2" i="5"/>
  <c r="C1" i="5"/>
  <c r="I59" i="2"/>
  <c r="H59" i="2" s="1"/>
  <c r="G59" i="2"/>
  <c r="F59" i="2"/>
  <c r="E59" i="2"/>
  <c r="D59" i="2"/>
  <c r="C59" i="2"/>
  <c r="B59" i="2"/>
  <c r="A59" i="2"/>
  <c r="I58" i="2"/>
  <c r="H58" i="2"/>
  <c r="G58" i="2"/>
  <c r="F58" i="2"/>
  <c r="E58" i="2"/>
  <c r="D58" i="2"/>
  <c r="C58" i="2"/>
  <c r="B58" i="2"/>
  <c r="A58" i="2"/>
  <c r="I57" i="2"/>
  <c r="H57" i="2" s="1"/>
  <c r="G57" i="2"/>
  <c r="F57" i="2"/>
  <c r="E57" i="2"/>
  <c r="D57" i="2"/>
  <c r="C57" i="2"/>
  <c r="B57" i="2"/>
  <c r="A57" i="2"/>
  <c r="G56" i="2"/>
  <c r="F56" i="2"/>
  <c r="I56" i="2" s="1"/>
  <c r="H56" i="2" s="1"/>
  <c r="E56" i="2"/>
  <c r="D56" i="2"/>
  <c r="C56" i="2"/>
  <c r="B56" i="2"/>
  <c r="A56" i="2"/>
  <c r="G55" i="2"/>
  <c r="F55" i="2"/>
  <c r="I55" i="2" s="1"/>
  <c r="H55" i="2" s="1"/>
  <c r="E55" i="2"/>
  <c r="D55" i="2"/>
  <c r="C55" i="2"/>
  <c r="B55" i="2"/>
  <c r="A55" i="2"/>
  <c r="G54" i="2"/>
  <c r="F54" i="2"/>
  <c r="I54" i="2" s="1"/>
  <c r="H54" i="2" s="1"/>
  <c r="E54" i="2"/>
  <c r="D54" i="2"/>
  <c r="C54" i="2"/>
  <c r="B54" i="2"/>
  <c r="A54" i="2"/>
  <c r="G53" i="2"/>
  <c r="F53" i="2"/>
  <c r="I53" i="2" s="1"/>
  <c r="H53" i="2" s="1"/>
  <c r="E53" i="2"/>
  <c r="D53" i="2"/>
  <c r="C53" i="2"/>
  <c r="B53" i="2"/>
  <c r="A53" i="2"/>
  <c r="I52" i="2"/>
  <c r="H52" i="2"/>
  <c r="G52" i="2"/>
  <c r="F52" i="2"/>
  <c r="E52" i="2"/>
  <c r="D52" i="2"/>
  <c r="C52" i="2"/>
  <c r="B52" i="2"/>
  <c r="A52" i="2"/>
  <c r="I51" i="2"/>
  <c r="H51" i="2" s="1"/>
  <c r="G51" i="2"/>
  <c r="F51" i="2"/>
  <c r="E51" i="2"/>
  <c r="D51" i="2"/>
  <c r="C51" i="2"/>
  <c r="B51" i="2"/>
  <c r="A51" i="2"/>
  <c r="I50" i="2"/>
  <c r="H50" i="2" s="1"/>
  <c r="G50" i="2"/>
  <c r="F50" i="2"/>
  <c r="E50" i="2"/>
  <c r="D50" i="2"/>
  <c r="C50" i="2"/>
  <c r="B50" i="2"/>
  <c r="A50" i="2"/>
  <c r="G49" i="2"/>
  <c r="F49" i="2"/>
  <c r="I49" i="2" s="1"/>
  <c r="H49" i="2" s="1"/>
  <c r="E49" i="2"/>
  <c r="D49" i="2"/>
  <c r="C49" i="2"/>
  <c r="B49" i="2"/>
  <c r="A49" i="2"/>
  <c r="G48" i="2"/>
  <c r="F48" i="2"/>
  <c r="I48" i="2" s="1"/>
  <c r="H48" i="2" s="1"/>
  <c r="E48" i="2"/>
  <c r="D48" i="2"/>
  <c r="C48" i="2"/>
  <c r="B48" i="2"/>
  <c r="A48" i="2"/>
  <c r="G47" i="2"/>
  <c r="F47" i="2"/>
  <c r="I47" i="2" s="1"/>
  <c r="H47" i="2" s="1"/>
  <c r="E47" i="2"/>
  <c r="D47" i="2"/>
  <c r="C47" i="2"/>
  <c r="B47" i="2"/>
  <c r="A47" i="2"/>
  <c r="G46" i="2"/>
  <c r="F46" i="2"/>
  <c r="I46" i="2" s="1"/>
  <c r="H46" i="2" s="1"/>
  <c r="E46" i="2"/>
  <c r="D46" i="2"/>
  <c r="C46" i="2"/>
  <c r="B46" i="2"/>
  <c r="A46" i="2"/>
  <c r="G45" i="2"/>
  <c r="F45" i="2"/>
  <c r="I45" i="2" s="1"/>
  <c r="H45" i="2" s="1"/>
  <c r="E45" i="2"/>
  <c r="D45" i="2"/>
  <c r="C45" i="2"/>
  <c r="B45" i="2"/>
  <c r="A45" i="2"/>
  <c r="I44" i="2"/>
  <c r="H44" i="2"/>
  <c r="G44" i="2"/>
  <c r="F44" i="2"/>
  <c r="E44" i="2"/>
  <c r="D44" i="2"/>
  <c r="C44" i="2"/>
  <c r="B44" i="2"/>
  <c r="A44" i="2"/>
  <c r="I43" i="2"/>
  <c r="H43" i="2" s="1"/>
  <c r="G43" i="2"/>
  <c r="F43" i="2"/>
  <c r="E43" i="2"/>
  <c r="D43" i="2"/>
  <c r="C43" i="2"/>
  <c r="B43" i="2"/>
  <c r="A43" i="2"/>
  <c r="I42" i="2"/>
  <c r="H42" i="2" s="1"/>
  <c r="G42" i="2"/>
  <c r="F42" i="2"/>
  <c r="E42" i="2"/>
  <c r="D42" i="2"/>
  <c r="C42" i="2"/>
  <c r="B42" i="2"/>
  <c r="A42" i="2"/>
  <c r="G41" i="2"/>
  <c r="F41" i="2"/>
  <c r="I41" i="2" s="1"/>
  <c r="H41" i="2" s="1"/>
  <c r="E41" i="2"/>
  <c r="D41" i="2"/>
  <c r="C41" i="2"/>
  <c r="B41" i="2"/>
  <c r="A41" i="2"/>
  <c r="G40" i="2"/>
  <c r="F40" i="2"/>
  <c r="I40" i="2" s="1"/>
  <c r="H40" i="2" s="1"/>
  <c r="E40" i="2"/>
  <c r="D40" i="2"/>
  <c r="C40" i="2"/>
  <c r="B40" i="2"/>
  <c r="A40" i="2"/>
  <c r="G39" i="2"/>
  <c r="F39" i="2"/>
  <c r="I39" i="2" s="1"/>
  <c r="H39" i="2" s="1"/>
  <c r="E39" i="2"/>
  <c r="D39" i="2"/>
  <c r="C39" i="2"/>
  <c r="B39" i="2"/>
  <c r="A39" i="2"/>
  <c r="G38" i="2"/>
  <c r="F38" i="2"/>
  <c r="I38" i="2" s="1"/>
  <c r="H38" i="2" s="1"/>
  <c r="E38" i="2"/>
  <c r="D38" i="2"/>
  <c r="C38" i="2"/>
  <c r="B38" i="2"/>
  <c r="A38" i="2"/>
  <c r="G37" i="2"/>
  <c r="F37" i="2"/>
  <c r="I37" i="2" s="1"/>
  <c r="H37" i="2" s="1"/>
  <c r="E37" i="2"/>
  <c r="D37" i="2"/>
  <c r="C37" i="2"/>
  <c r="B37" i="2"/>
  <c r="A37" i="2"/>
  <c r="I36" i="2"/>
  <c r="H36" i="2"/>
  <c r="G36" i="2"/>
  <c r="F36" i="2"/>
  <c r="E36" i="2"/>
  <c r="D36" i="2"/>
  <c r="C36" i="2"/>
  <c r="B36" i="2"/>
  <c r="A36" i="2"/>
  <c r="I35" i="2"/>
  <c r="H35" i="2" s="1"/>
  <c r="G35" i="2"/>
  <c r="F35" i="2"/>
  <c r="E35" i="2"/>
  <c r="D35" i="2"/>
  <c r="C35" i="2"/>
  <c r="B35" i="2"/>
  <c r="A35" i="2"/>
  <c r="I34" i="2"/>
  <c r="H34" i="2" s="1"/>
  <c r="G34" i="2"/>
  <c r="F34" i="2"/>
  <c r="E34" i="2"/>
  <c r="D34" i="2"/>
  <c r="C34" i="2"/>
  <c r="B34" i="2"/>
  <c r="A34" i="2"/>
  <c r="G33" i="2"/>
  <c r="F33" i="2"/>
  <c r="I33" i="2" s="1"/>
  <c r="H33" i="2" s="1"/>
  <c r="E33" i="2"/>
  <c r="D33" i="2"/>
  <c r="C33" i="2"/>
  <c r="B33" i="2"/>
  <c r="A33" i="2"/>
  <c r="G32" i="2"/>
  <c r="F32" i="2"/>
  <c r="I32" i="2" s="1"/>
  <c r="H32" i="2" s="1"/>
  <c r="E32" i="2"/>
  <c r="D32" i="2"/>
  <c r="C32" i="2"/>
  <c r="B32" i="2"/>
  <c r="A32" i="2"/>
  <c r="G31" i="2"/>
  <c r="F31" i="2"/>
  <c r="I31" i="2" s="1"/>
  <c r="H31" i="2" s="1"/>
  <c r="E31" i="2"/>
  <c r="D31" i="2"/>
  <c r="C31" i="2"/>
  <c r="B31" i="2"/>
  <c r="A31" i="2"/>
  <c r="G30" i="2"/>
  <c r="F30" i="2"/>
  <c r="I30" i="2" s="1"/>
  <c r="H30" i="2" s="1"/>
  <c r="E30" i="2"/>
  <c r="D30" i="2"/>
  <c r="C30" i="2"/>
  <c r="B30" i="2"/>
  <c r="A30" i="2"/>
  <c r="G29" i="2"/>
  <c r="F29" i="2"/>
  <c r="I29" i="2" s="1"/>
  <c r="H29" i="2" s="1"/>
  <c r="E29" i="2"/>
  <c r="D29" i="2"/>
  <c r="C29" i="2"/>
  <c r="B29" i="2"/>
  <c r="A29" i="2"/>
  <c r="I28" i="2"/>
  <c r="H28" i="2"/>
  <c r="G28" i="2"/>
  <c r="F28" i="2"/>
  <c r="E28" i="2"/>
  <c r="D28" i="2"/>
  <c r="C28" i="2"/>
  <c r="B28" i="2"/>
  <c r="A28" i="2"/>
  <c r="I27" i="2"/>
  <c r="H27" i="2" s="1"/>
  <c r="G27" i="2"/>
  <c r="F27" i="2"/>
  <c r="E27" i="2"/>
  <c r="D27" i="2"/>
  <c r="C27" i="2"/>
  <c r="B27" i="2"/>
  <c r="A27" i="2"/>
  <c r="I26" i="2"/>
  <c r="H26" i="2" s="1"/>
  <c r="G26" i="2"/>
  <c r="F26" i="2"/>
  <c r="E26" i="2"/>
  <c r="D26" i="2"/>
  <c r="C26" i="2"/>
  <c r="B26" i="2"/>
  <c r="A26" i="2"/>
  <c r="G25" i="2"/>
  <c r="F25" i="2"/>
  <c r="I25" i="2" s="1"/>
  <c r="H25" i="2" s="1"/>
  <c r="E25" i="2"/>
  <c r="D25" i="2"/>
  <c r="C25" i="2"/>
  <c r="B25" i="2"/>
  <c r="A25" i="2"/>
  <c r="G24" i="2"/>
  <c r="F24" i="2"/>
  <c r="I24" i="2" s="1"/>
  <c r="H24" i="2" s="1"/>
  <c r="E24" i="2"/>
  <c r="D24" i="2"/>
  <c r="C24" i="2"/>
  <c r="B24" i="2"/>
  <c r="A24" i="2"/>
  <c r="G23" i="2"/>
  <c r="F23" i="2"/>
  <c r="I23" i="2" s="1"/>
  <c r="H23" i="2" s="1"/>
  <c r="E23" i="2"/>
  <c r="D23" i="2"/>
  <c r="C23" i="2"/>
  <c r="B23" i="2"/>
  <c r="A23" i="2"/>
  <c r="G22" i="2"/>
  <c r="F22" i="2"/>
  <c r="I22" i="2" s="1"/>
  <c r="H22" i="2" s="1"/>
  <c r="E22" i="2"/>
  <c r="D22" i="2"/>
  <c r="C22" i="2"/>
  <c r="B22" i="2"/>
  <c r="A22" i="2"/>
  <c r="G21" i="2"/>
  <c r="F21" i="2"/>
  <c r="I21" i="2" s="1"/>
  <c r="H21" i="2" s="1"/>
  <c r="E21" i="2"/>
  <c r="D21" i="2"/>
  <c r="C21" i="2"/>
  <c r="B21" i="2"/>
  <c r="A21" i="2"/>
  <c r="I20" i="2"/>
  <c r="H20" i="2"/>
  <c r="G20" i="2"/>
  <c r="F20" i="2"/>
  <c r="E20" i="2"/>
  <c r="D20" i="2"/>
  <c r="C20" i="2"/>
  <c r="B20" i="2"/>
  <c r="A20" i="2"/>
  <c r="I19" i="2"/>
  <c r="H19" i="2" s="1"/>
  <c r="G19" i="2"/>
  <c r="F19" i="2"/>
  <c r="E19" i="2"/>
  <c r="D19" i="2"/>
  <c r="C19" i="2"/>
  <c r="B19" i="2"/>
  <c r="A19" i="2"/>
  <c r="I18" i="2"/>
  <c r="H18" i="2" s="1"/>
  <c r="G18" i="2"/>
  <c r="F18" i="2"/>
  <c r="E18" i="2"/>
  <c r="D18" i="2"/>
  <c r="C18" i="2"/>
  <c r="B18" i="2"/>
  <c r="A18" i="2"/>
  <c r="G17" i="2"/>
  <c r="F17" i="2"/>
  <c r="I17" i="2" s="1"/>
  <c r="H17" i="2" s="1"/>
  <c r="E17" i="2"/>
  <c r="D17" i="2"/>
  <c r="C17" i="2"/>
  <c r="B17" i="2"/>
  <c r="A17" i="2"/>
  <c r="G16" i="2"/>
  <c r="F16" i="2"/>
  <c r="I16" i="2" s="1"/>
  <c r="H16" i="2" s="1"/>
  <c r="E16" i="2"/>
  <c r="D16" i="2"/>
  <c r="C16" i="2"/>
  <c r="B16" i="2"/>
  <c r="A16" i="2"/>
  <c r="G15" i="2"/>
  <c r="F15" i="2"/>
  <c r="I15" i="2" s="1"/>
  <c r="H15" i="2" s="1"/>
  <c r="E15" i="2"/>
  <c r="D15" i="2"/>
  <c r="C15" i="2"/>
  <c r="B15" i="2"/>
  <c r="A15" i="2"/>
  <c r="G14" i="2"/>
  <c r="F14" i="2"/>
  <c r="I14" i="2" s="1"/>
  <c r="H14" i="2" s="1"/>
  <c r="E14" i="2"/>
  <c r="D14" i="2"/>
  <c r="C14" i="2"/>
  <c r="B14" i="2"/>
  <c r="A14" i="2"/>
  <c r="G13" i="2"/>
  <c r="F13" i="2"/>
  <c r="I13" i="2" s="1"/>
  <c r="H13" i="2" s="1"/>
  <c r="E13" i="2"/>
  <c r="D13" i="2"/>
  <c r="C13" i="2"/>
  <c r="B13" i="2"/>
  <c r="A13" i="2"/>
  <c r="I12" i="2"/>
  <c r="H12" i="2"/>
  <c r="G12" i="2"/>
  <c r="F12" i="2"/>
  <c r="E12" i="2"/>
  <c r="D12" i="2"/>
  <c r="C12" i="2"/>
  <c r="B12" i="2"/>
  <c r="A12" i="2"/>
  <c r="I11" i="2"/>
  <c r="H11" i="2" s="1"/>
  <c r="G11" i="2"/>
  <c r="F11" i="2"/>
  <c r="E11" i="2"/>
  <c r="D11" i="2"/>
  <c r="C11" i="2"/>
  <c r="B11" i="2"/>
  <c r="A11" i="2"/>
  <c r="I10" i="2"/>
  <c r="H10" i="2" s="1"/>
  <c r="G10" i="2"/>
  <c r="F10" i="2"/>
  <c r="E10" i="2"/>
  <c r="D10" i="2"/>
  <c r="C10" i="2"/>
  <c r="B10" i="2"/>
  <c r="A10" i="2"/>
  <c r="B7" i="2"/>
  <c r="B6" i="2"/>
  <c r="B5" i="2"/>
  <c r="A2" i="2"/>
  <c r="E1" i="2"/>
  <c r="B6" i="3"/>
  <c r="B7" i="3" s="1"/>
  <c r="B5" i="3"/>
  <c r="A2" i="3"/>
  <c r="C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author>
  </authors>
  <commentList>
    <comment ref="A1" authorId="0" shapeId="0" xr:uid="{00000000-0006-0000-0000-000001000000}">
      <text>
        <r>
          <rPr>
            <sz val="10"/>
            <rFont val="Arial"/>
            <family val="2"/>
          </rPr>
          <t>RiskManagement.25</t>
        </r>
      </text>
    </comment>
  </commentList>
</comments>
</file>

<file path=xl/sharedStrings.xml><?xml version="1.0" encoding="utf-8"?>
<sst xmlns="http://schemas.openxmlformats.org/spreadsheetml/2006/main" count="1790" uniqueCount="1564">
  <si>
    <t>Grand Total</t>
  </si>
  <si>
    <t>DeviceGroup</t>
  </si>
  <si>
    <t>DeviceName</t>
  </si>
  <si>
    <t>DriverGroup</t>
  </si>
  <si>
    <t>RiskManagementIdlingDuration</t>
  </si>
  <si>
    <t>RunDate</t>
  </si>
  <si>
    <t>FromDate</t>
  </si>
  <si>
    <t>ToDate</t>
  </si>
  <si>
    <t>CompanyName</t>
  </si>
  <si>
    <t>DistanceUnit</t>
  </si>
  <si>
    <t>SpeedUnit</t>
  </si>
  <si>
    <t>SendReport</t>
  </si>
  <si>
    <t>LastModifiedUser</t>
  </si>
  <si>
    <t>RiskManagementTotalDrivingDuration</t>
  </si>
  <si>
    <t>English</t>
  </si>
  <si>
    <t>Spanish</t>
  </si>
  <si>
    <t>German</t>
  </si>
  <si>
    <t>Japanese</t>
  </si>
  <si>
    <t>**Item</t>
  </si>
  <si>
    <t>**Group</t>
  </si>
  <si>
    <t>**Period Number</t>
  </si>
  <si>
    <t>**Period Start Date</t>
  </si>
  <si>
    <t>**Period End Date</t>
  </si>
  <si>
    <t>**Speed &gt; Limit 1</t>
  </si>
  <si>
    <t>**Speed &gt; Limit 2</t>
  </si>
  <si>
    <t>**Speed &gt; Limit 3</t>
  </si>
  <si>
    <t>**Average Speed</t>
  </si>
  <si>
    <t>**Stop &lt; 10 mins.</t>
  </si>
  <si>
    <t>**Stop &gt; 10 mins.</t>
  </si>
  <si>
    <t>**Stop &gt; 20 mins.</t>
  </si>
  <si>
    <t>**Stop &gt; 30 mins.</t>
  </si>
  <si>
    <t>**Stop &gt; 40 mins.</t>
  </si>
  <si>
    <t>**Stop &gt; 50 mins.</t>
  </si>
  <si>
    <t>**Idling &gt; 5 mins.</t>
  </si>
  <si>
    <t>**Idling Duration</t>
  </si>
  <si>
    <t>**After Hours Trips</t>
  </si>
  <si>
    <t>**Total Distance</t>
  </si>
  <si>
    <t>**Total Stops</t>
  </si>
  <si>
    <t>**Exception #1 Duration</t>
  </si>
  <si>
    <t>**Exception #1 Count</t>
  </si>
  <si>
    <t>**Exception #1 Distance</t>
  </si>
  <si>
    <t>**Exception #2 Duration</t>
  </si>
  <si>
    <t>**Exception #2 Count</t>
  </si>
  <si>
    <t>**Exception #2 Distance</t>
  </si>
  <si>
    <t>**Exception #3 Duration</t>
  </si>
  <si>
    <t>**Exception #3 Count</t>
  </si>
  <si>
    <t>**Exception #3 Distance</t>
  </si>
  <si>
    <t>**Exception #4 Duration</t>
  </si>
  <si>
    <t>**Exception #4 Count</t>
  </si>
  <si>
    <t>**Exception #4 Distance</t>
  </si>
  <si>
    <t>**Exception #5 Duration</t>
  </si>
  <si>
    <t>**Exception #5 Count</t>
  </si>
  <si>
    <t>**Exception #5 Distance</t>
  </si>
  <si>
    <t>**Exception #6 Duration</t>
  </si>
  <si>
    <t>**Exception #6 Count</t>
  </si>
  <si>
    <t>**Exception #6 Distance</t>
  </si>
  <si>
    <t>**Risk Management Report Summary</t>
  </si>
  <si>
    <t>**Created</t>
  </si>
  <si>
    <t>**From</t>
  </si>
  <si>
    <t>**To</t>
  </si>
  <si>
    <t>**Distance Unit</t>
  </si>
  <si>
    <t>**Speed Unit</t>
  </si>
  <si>
    <t>**Risk Management Report</t>
  </si>
  <si>
    <t>**Max Speed</t>
  </si>
  <si>
    <t>Élément</t>
  </si>
  <si>
    <t>Artículo</t>
  </si>
  <si>
    <t>Element</t>
  </si>
  <si>
    <t>項目</t>
  </si>
  <si>
    <t>Groupe</t>
  </si>
  <si>
    <t>Grupo</t>
  </si>
  <si>
    <t>Gruppe</t>
  </si>
  <si>
    <t>グループ</t>
  </si>
  <si>
    <t>Numéro de période</t>
  </si>
  <si>
    <t>Número del periodo</t>
  </si>
  <si>
    <t>Periodennummer</t>
  </si>
  <si>
    <t>期間番号</t>
  </si>
  <si>
    <t>Début de la période (date)</t>
  </si>
  <si>
    <t>Fecha de inicio del periodo</t>
  </si>
  <si>
    <t>Periodenanfangsdatum</t>
  </si>
  <si>
    <t>期間開始日</t>
  </si>
  <si>
    <t>Fin de la période (date)</t>
  </si>
  <si>
    <t>Fecha de fin del periodo</t>
  </si>
  <si>
    <t>Periodenenddatum</t>
  </si>
  <si>
    <t>期間終了日</t>
  </si>
  <si>
    <t>Vitesse &gt; Limite 1</t>
  </si>
  <si>
    <t>Velocidad &gt; Límite 1</t>
  </si>
  <si>
    <t>Geschwindigkeit &gt; Grenzwert 1</t>
  </si>
  <si>
    <t>速度 &gt; 制限 1</t>
  </si>
  <si>
    <t>Vitesse &gt; Limite 2</t>
  </si>
  <si>
    <t>Velocidad &gt; Límite 2</t>
  </si>
  <si>
    <t>Geschwindigkeit &gt; Grenzwert 2</t>
  </si>
  <si>
    <t>速度 &gt; 制限 2</t>
  </si>
  <si>
    <t>Vitesse &gt; Limite 3</t>
  </si>
  <si>
    <t>Velocidad &gt; Límite 3</t>
  </si>
  <si>
    <t>Geschwindigkeit &gt; Grenzwert 3</t>
  </si>
  <si>
    <t>速度 &gt; 制限 3</t>
  </si>
  <si>
    <t>La vitesse moyenne</t>
  </si>
  <si>
    <t>Velocidad media</t>
  </si>
  <si>
    <t>Durchschnittsgeschwindigkeit</t>
  </si>
  <si>
    <t>平均スピード</t>
  </si>
  <si>
    <t>Arrêt &lt; 10 min.</t>
  </si>
  <si>
    <t>Parada &lt; 10 min.</t>
  </si>
  <si>
    <t>Stopp &lt; 10 Min.</t>
  </si>
  <si>
    <t>停車 &lt; 10 分</t>
  </si>
  <si>
    <t>Arrêt &gt; 10 min.</t>
  </si>
  <si>
    <t>Parada &gt; 10 min.</t>
  </si>
  <si>
    <t>Stopp &gt; 10 Min.</t>
  </si>
  <si>
    <t>停車 &gt; 10 分</t>
  </si>
  <si>
    <t>Arrêt &gt; 20 min.</t>
  </si>
  <si>
    <t>Parada &gt; 20 min.</t>
  </si>
  <si>
    <t>Stopp &gt; 20 Min.</t>
  </si>
  <si>
    <t>停車 &gt; 20 分</t>
  </si>
  <si>
    <t>Arrêt &gt; 30 min.</t>
  </si>
  <si>
    <t>Parada &gt; 30 min.</t>
  </si>
  <si>
    <t>Stopp &gt; 30 Min.</t>
  </si>
  <si>
    <t>停車 &gt; 30 分</t>
  </si>
  <si>
    <t>Arrêt &gt; 40 min.</t>
  </si>
  <si>
    <t>Parada &gt; 40 min.</t>
  </si>
  <si>
    <t>Stopp &gt; 40 Min.</t>
  </si>
  <si>
    <t>停車 &gt; 40 分</t>
  </si>
  <si>
    <t>Arrêt &gt; 50 min.</t>
  </si>
  <si>
    <t>Parada &gt; 50 min.</t>
  </si>
  <si>
    <t>Stopp &gt; 50 Min.</t>
  </si>
  <si>
    <t>停車 &gt; 50 分</t>
  </si>
  <si>
    <t>Au ralenti &gt; 5 min.</t>
  </si>
  <si>
    <t>En ralentí &gt; 5 min.</t>
  </si>
  <si>
    <t>Motorleerlaufzeit &gt; 5 Min.</t>
  </si>
  <si>
    <t>アイドリング &gt; 5 分</t>
  </si>
  <si>
    <t>Durée de marche au ralenti</t>
  </si>
  <si>
    <t>Tiempo en ralentí</t>
  </si>
  <si>
    <t>Leerlaufdauer</t>
  </si>
  <si>
    <t>アイドリング期間</t>
  </si>
  <si>
    <t>Trajets après les heures normales de travail</t>
  </si>
  <si>
    <t>Viajes fuera de horas</t>
  </si>
  <si>
    <t>Fahrten nach der Arbeitszeit</t>
  </si>
  <si>
    <t>時間外走行</t>
  </si>
  <si>
    <t>Distance totale</t>
  </si>
  <si>
    <t>Distancia total</t>
  </si>
  <si>
    <t>Gesamtstrecke</t>
  </si>
  <si>
    <t>合計距離</t>
  </si>
  <si>
    <t>Total des arrêts</t>
  </si>
  <si>
    <t>Total de paradas</t>
  </si>
  <si>
    <t>Stopps insgesamt</t>
  </si>
  <si>
    <t>停車地点合計</t>
  </si>
  <si>
    <t>Exception n° 1 Durée</t>
  </si>
  <si>
    <t>Duración de la 1ª excepción</t>
  </si>
  <si>
    <t>Ausnahme # 1 Dauer</t>
  </si>
  <si>
    <t>例外#1 時間</t>
  </si>
  <si>
    <t>Exception n° 1 Nombre</t>
  </si>
  <si>
    <t>Cantidad de excepciones nº 1</t>
  </si>
  <si>
    <t>Ausnahme # 1 Anzahl</t>
  </si>
  <si>
    <t>例外#1 回数</t>
  </si>
  <si>
    <t>Exception n° 1 Distance</t>
  </si>
  <si>
    <t>Distancia de la excepción nº 1</t>
  </si>
  <si>
    <t>Ausnahme # 1 Entfernung</t>
  </si>
  <si>
    <t>例外#1 距離</t>
  </si>
  <si>
    <t>Exception n° 2 Durée</t>
  </si>
  <si>
    <t>Duración de la excepción nº 2</t>
  </si>
  <si>
    <t>Ausnahme # 2 Dauer</t>
  </si>
  <si>
    <t>例外#2 時間</t>
  </si>
  <si>
    <t>Exception n° 2 Nombre</t>
  </si>
  <si>
    <t>Cantidad de excepciones nº 2</t>
  </si>
  <si>
    <t>Ausnahme # 2 Anzahl</t>
  </si>
  <si>
    <t>例外#2 回数</t>
  </si>
  <si>
    <t>Exception n° 2 Distance</t>
  </si>
  <si>
    <t>Distancia de la excepción nº 2</t>
  </si>
  <si>
    <t>Ausnahme # 2 Entfernung</t>
  </si>
  <si>
    <t>例外#2 距離</t>
  </si>
  <si>
    <t>Exception n° 3 Durée</t>
  </si>
  <si>
    <t>Duración de la excepción nº 3</t>
  </si>
  <si>
    <t>Ausnahme # 3 Dauer</t>
  </si>
  <si>
    <t>例外#3 時間</t>
  </si>
  <si>
    <t>Exception n° 3 Nombre</t>
  </si>
  <si>
    <t>Cantidad de excepciones nº 3</t>
  </si>
  <si>
    <t>Ausnahme # 3 Anzahl</t>
  </si>
  <si>
    <t>例外#3 回数</t>
  </si>
  <si>
    <t>Exception n° 3 Distance</t>
  </si>
  <si>
    <t>Distancia de la excepción nº 3</t>
  </si>
  <si>
    <t>Ausnahme # 3 Entfernung</t>
  </si>
  <si>
    <t>例外#3 距離</t>
  </si>
  <si>
    <t>Exception n° 4 Durée</t>
  </si>
  <si>
    <t>Duración de la excepción nº 4</t>
  </si>
  <si>
    <t>Ausnahme # 4 Dauer</t>
  </si>
  <si>
    <t>例外#4 時間</t>
  </si>
  <si>
    <t>Exception n° 4 Nombre</t>
  </si>
  <si>
    <t>Cantidad de excepciones nº 4</t>
  </si>
  <si>
    <t>Ausnahme # 4 Anzahl</t>
  </si>
  <si>
    <t>例外#4 回数</t>
  </si>
  <si>
    <t>Exception n° 4 Distance</t>
  </si>
  <si>
    <t>Distancia de la excepción nº 4</t>
  </si>
  <si>
    <t>Ausnahme # 4 Entfernung</t>
  </si>
  <si>
    <t>例外#4 距離</t>
  </si>
  <si>
    <t>Exception n° 5 Durée</t>
  </si>
  <si>
    <t>Duración de la excepción nº 5</t>
  </si>
  <si>
    <t>Ausnahme # 5 Dauer</t>
  </si>
  <si>
    <t>例外#5 時間</t>
  </si>
  <si>
    <t>Exception n° 5 Nombre</t>
  </si>
  <si>
    <t>Cantidad de excepciones nº  5</t>
  </si>
  <si>
    <t>Ausnahme # 5 Anzahl</t>
  </si>
  <si>
    <t>例外#5 回数</t>
  </si>
  <si>
    <t>Exception n° 5 Distance</t>
  </si>
  <si>
    <t>Distancia de la excepción nº 5</t>
  </si>
  <si>
    <t>Ausnahme # 5 Entfernung</t>
  </si>
  <si>
    <t>例外#5 距離</t>
  </si>
  <si>
    <t>Exception n° 6 Durée</t>
  </si>
  <si>
    <t>Duración de la excepción nº 6</t>
  </si>
  <si>
    <t>Ausnahme # 6 Dauer</t>
  </si>
  <si>
    <t>例外#6 時間</t>
  </si>
  <si>
    <t>Exception n° 6 Nombre</t>
  </si>
  <si>
    <t>Cantidad de excepciones nº 6</t>
  </si>
  <si>
    <t>Ausnahme # 6 Anzahl</t>
  </si>
  <si>
    <t>例外#6 回数</t>
  </si>
  <si>
    <t>Exception n° 6 Distance</t>
  </si>
  <si>
    <t>Distancia de la excepción nº 6</t>
  </si>
  <si>
    <t>Ausnahme # 6 Entfernung</t>
  </si>
  <si>
    <t>例外#6 距離</t>
  </si>
  <si>
    <t>Reporte de administración de riesgos</t>
  </si>
  <si>
    <t>Risikomanagementbericht</t>
  </si>
  <si>
    <t>Rapport sommaire de gestion des risques</t>
  </si>
  <si>
    <t>Resumen del reporte sobre gestión de riesgos</t>
  </si>
  <si>
    <t>Berichtübersicht Risikomanagement</t>
  </si>
  <si>
    <t>リスクマネジメントレポートサマリー</t>
  </si>
  <si>
    <t>Créé</t>
  </si>
  <si>
    <t>Creado</t>
  </si>
  <si>
    <t>Angelegt</t>
  </si>
  <si>
    <t>作成済</t>
  </si>
  <si>
    <t>Von</t>
  </si>
  <si>
    <t>Unité de distance</t>
  </si>
  <si>
    <t>Unidad de distancia</t>
  </si>
  <si>
    <t>Entfernungseinheit</t>
  </si>
  <si>
    <t>距離の単位</t>
  </si>
  <si>
    <t>Unité de vitesse</t>
  </si>
  <si>
    <t>Unidad de velocidad</t>
  </si>
  <si>
    <t>Geschwindigkeitseinheit</t>
  </si>
  <si>
    <t>速度単位</t>
  </si>
  <si>
    <t>Vitesse maximale</t>
  </si>
  <si>
    <t>Velocidad máxima</t>
  </si>
  <si>
    <t>最高速度</t>
  </si>
  <si>
    <t>Language</t>
  </si>
  <si>
    <t>en</t>
  </si>
  <si>
    <t>UserFirstName</t>
  </si>
  <si>
    <t>UserLastName</t>
  </si>
  <si>
    <t>**First Name</t>
  </si>
  <si>
    <t>Prénom</t>
  </si>
  <si>
    <t>Nombre</t>
  </si>
  <si>
    <t>Vorname</t>
  </si>
  <si>
    <t>ファーストネー</t>
  </si>
  <si>
    <t>**Last Name</t>
  </si>
  <si>
    <t>Nom de famille</t>
  </si>
  <si>
    <t>Apellido</t>
  </si>
  <si>
    <t>Nachname</t>
  </si>
  <si>
    <t>ラストネーム</t>
  </si>
  <si>
    <t>**Email</t>
  </si>
  <si>
    <t>Courriel</t>
  </si>
  <si>
    <t>Correo electrónico</t>
  </si>
  <si>
    <t>E-Mail</t>
  </si>
  <si>
    <t>Email</t>
  </si>
  <si>
    <t>Polish</t>
  </si>
  <si>
    <t>Poz.</t>
  </si>
  <si>
    <t>Grupa</t>
  </si>
  <si>
    <t>Numer okresu</t>
  </si>
  <si>
    <t>Data poczatkowa okresu</t>
  </si>
  <si>
    <t>Data koncowa okresu</t>
  </si>
  <si>
    <t>Predkosc &gt; Limit 1</t>
  </si>
  <si>
    <t>Predkosc &gt; Limit 2</t>
  </si>
  <si>
    <t>Predkosc &gt; Limit 3</t>
  </si>
  <si>
    <t>Srednia predkosc</t>
  </si>
  <si>
    <t>Postój &lt; 10 minut</t>
  </si>
  <si>
    <t>Postój &gt; 10 minut</t>
  </si>
  <si>
    <t>Postój &gt; 20 minut</t>
  </si>
  <si>
    <t>Postój &gt; 30 minut</t>
  </si>
  <si>
    <t>Postój &gt; 40 minut</t>
  </si>
  <si>
    <t>Postój &gt; 50 minut</t>
  </si>
  <si>
    <t>Praca na biegu jalowym &gt; 5 min</t>
  </si>
  <si>
    <t>Kursy po godzinach</t>
  </si>
  <si>
    <t>Razem postoje</t>
  </si>
  <si>
    <t>Wyjatek nr 1- czas trwania</t>
  </si>
  <si>
    <t>Wyjatek nr 1- liczba</t>
  </si>
  <si>
    <t>Wyjatek nr 1- odleglosc</t>
  </si>
  <si>
    <t>Wyjatek nr 2- czas trwania</t>
  </si>
  <si>
    <t>Wyjatek nr 2- liczba</t>
  </si>
  <si>
    <t>Wyjatek nr 2- odleglosc</t>
  </si>
  <si>
    <t>Wyjatek nr 3- czas trwania</t>
  </si>
  <si>
    <t>Wyjatek nr 3- liczba</t>
  </si>
  <si>
    <t>Wyjatek nr 3- odleglosc</t>
  </si>
  <si>
    <t>Wyjatek nr 4- czas trwania</t>
  </si>
  <si>
    <t>Wyjatek nr 4- liczba</t>
  </si>
  <si>
    <t>Wyjatek nr 4- odleglosc</t>
  </si>
  <si>
    <t>Wyjatek nr 5- czas trwania</t>
  </si>
  <si>
    <t>Wyjatek nr 5- liczba</t>
  </si>
  <si>
    <t>Wyjatek nr 5- odleglosc</t>
  </si>
  <si>
    <t>Wyjatek nr 6- czas trwania</t>
  </si>
  <si>
    <t>Wyjatek nr 6- liczba</t>
  </si>
  <si>
    <t>Wyjatek nr 6- odleglosc</t>
  </si>
  <si>
    <t>Podsumowanie raportu zarzadzania ryzykiem</t>
  </si>
  <si>
    <t>Utworzono</t>
  </si>
  <si>
    <t>Od</t>
  </si>
  <si>
    <t>Do</t>
  </si>
  <si>
    <t>Jednostka odleglosci</t>
  </si>
  <si>
    <t>Jednostka predkosci</t>
  </si>
  <si>
    <t>Imie</t>
  </si>
  <si>
    <t>Nazwisko</t>
  </si>
  <si>
    <t>E-mail</t>
  </si>
  <si>
    <t>Portuguese-Brazil</t>
  </si>
  <si>
    <t>Item</t>
  </si>
  <si>
    <t>Velocidade média</t>
  </si>
  <si>
    <t>Tempo parado com motor ligado</t>
  </si>
  <si>
    <t>Viagem após o expediente</t>
  </si>
  <si>
    <t>Distância total</t>
  </si>
  <si>
    <t>Relatório de gestão de risco</t>
  </si>
  <si>
    <t>Nome</t>
  </si>
  <si>
    <t>Sobrenome</t>
  </si>
  <si>
    <t>Número do período</t>
  </si>
  <si>
    <t>Data do início do período</t>
  </si>
  <si>
    <t>Data do final do período</t>
  </si>
  <si>
    <t>Velocidade &gt; Limite 1</t>
  </si>
  <si>
    <t>Velocidade &gt; Limite 2</t>
  </si>
  <si>
    <t>Velocidade &gt; Limite 3</t>
  </si>
  <si>
    <t>Inativo com motor ligado &gt; 5 min.</t>
  </si>
  <si>
    <t>Paradas totais</t>
  </si>
  <si>
    <t>Duração da exceção nº 1</t>
  </si>
  <si>
    <t>Contagem da exceção nº 1</t>
  </si>
  <si>
    <t>Distância da exceção nº 1</t>
  </si>
  <si>
    <t>Duração da exceção nº 2</t>
  </si>
  <si>
    <t>Contagem da exceção nº 2</t>
  </si>
  <si>
    <t>Distância da exceção nº 2</t>
  </si>
  <si>
    <t>Duração da exceção nº 3</t>
  </si>
  <si>
    <t>Contagem da exceção nº 3</t>
  </si>
  <si>
    <t>Distância da exceção nº 3</t>
  </si>
  <si>
    <t>Duração da exceção nº 4</t>
  </si>
  <si>
    <t>Contagem da exceção nº 4</t>
  </si>
  <si>
    <t>Distância da exceção nº 4</t>
  </si>
  <si>
    <t>Duração da exceção nº 5</t>
  </si>
  <si>
    <t>Contagem da exceção nº 5</t>
  </si>
  <si>
    <t>Distância da exceção nº 5</t>
  </si>
  <si>
    <t>Duração da exceção nº 6</t>
  </si>
  <si>
    <t>Contagem da exceção nº 6</t>
  </si>
  <si>
    <t>Distância da exceção nº 6</t>
  </si>
  <si>
    <t>Relatório resumido de gestão do risco</t>
  </si>
  <si>
    <t>Criado em</t>
  </si>
  <si>
    <t>Unidade de distância</t>
  </si>
  <si>
    <t>Unidade de velocidade</t>
  </si>
  <si>
    <t>Velocidade máxima</t>
  </si>
  <si>
    <t>Dutch</t>
  </si>
  <si>
    <t>Groep</t>
  </si>
  <si>
    <t>Periodenummer</t>
  </si>
  <si>
    <t>Startdatum periode</t>
  </si>
  <si>
    <t>Einddatum periode</t>
  </si>
  <si>
    <t>Snelheid &gt; Limiet 1</t>
  </si>
  <si>
    <t>Snelheid &gt; Limiet 2</t>
  </si>
  <si>
    <t>Snelheid &gt; Limiet 3</t>
  </si>
  <si>
    <t>Gemiddelde snelheid</t>
  </si>
  <si>
    <t>Stop &lt; 10 min.</t>
  </si>
  <si>
    <t>Stop &gt; 10 min.</t>
  </si>
  <si>
    <t>Stop &gt; 20 min.</t>
  </si>
  <si>
    <t>Stop &gt; 30 min.</t>
  </si>
  <si>
    <t>Stop &gt; 40 min.</t>
  </si>
  <si>
    <t>Stop &gt; 50 min.</t>
  </si>
  <si>
    <t>Stationair draaien &gt; 5 min.</t>
  </si>
  <si>
    <t>Duur stationair draaien</t>
  </si>
  <si>
    <t>Trips na werktijd</t>
  </si>
  <si>
    <t>Totale afstand</t>
  </si>
  <si>
    <t>Totaal aantal stops</t>
  </si>
  <si>
    <t>Uitzondering nr.1 Duur</t>
  </si>
  <si>
    <t>Uitzondering nr.1 Aantal</t>
  </si>
  <si>
    <t>Uitzondering nr.1 Afstand</t>
  </si>
  <si>
    <t>Uitzondering nr.2 Duur</t>
  </si>
  <si>
    <t>Uitzondering nr.2 Aantal</t>
  </si>
  <si>
    <t>Uitzondering nr.2 Afstand</t>
  </si>
  <si>
    <t>Uitzondering nr.3 Duur</t>
  </si>
  <si>
    <t>Uitzondering nr.3 Aantal</t>
  </si>
  <si>
    <t>Uitzondering nr.3 Afstand</t>
  </si>
  <si>
    <t>Uitzondering nr.4 Duur</t>
  </si>
  <si>
    <t>Uitzondering nr.4 Aantal</t>
  </si>
  <si>
    <t>Uitzondering nr.4 Afstand</t>
  </si>
  <si>
    <t>Uitzondering nr.5 Duur</t>
  </si>
  <si>
    <t>Uitzondering nr.5 Aantal</t>
  </si>
  <si>
    <t>Uitzondering nr.5 Afstand</t>
  </si>
  <si>
    <t>Uitzondering nr.6 Duur</t>
  </si>
  <si>
    <t>Uitzondering nr.6 Aantal</t>
  </si>
  <si>
    <t>Uitzondering nr.6 Afstand</t>
  </si>
  <si>
    <t>Rapport Risicobeheer</t>
  </si>
  <si>
    <t>Overzichtsrapport Risicobeheer</t>
  </si>
  <si>
    <t>Aangemaakt</t>
  </si>
  <si>
    <t>Van</t>
  </si>
  <si>
    <t>Afstandseenheid</t>
  </si>
  <si>
    <t>Snelheidseenheid</t>
  </si>
  <si>
    <t>Max. snelheid</t>
  </si>
  <si>
    <t>Voornaam</t>
  </si>
  <si>
    <t>Achternaam</t>
  </si>
  <si>
    <t>Italian</t>
  </si>
  <si>
    <t>Gruppo</t>
  </si>
  <si>
    <t>Velocità media</t>
  </si>
  <si>
    <t>Durata della pausa</t>
  </si>
  <si>
    <t>Viaggi dopo l'orario di lavoro</t>
  </si>
  <si>
    <t>Distanza totale</t>
  </si>
  <si>
    <t>Elemento</t>
  </si>
  <si>
    <t>Numero del periodo</t>
  </si>
  <si>
    <t>Data iniziale del periodo</t>
  </si>
  <si>
    <t>Data di fine del periodo</t>
  </si>
  <si>
    <t>Velocità &gt; Limite 1</t>
  </si>
  <si>
    <t>Velocità &gt; Limite 2</t>
  </si>
  <si>
    <t>Velocità &gt; Limite 3</t>
  </si>
  <si>
    <t>Sosta &lt; 10 min</t>
  </si>
  <si>
    <t>Sosta &gt; 10 min</t>
  </si>
  <si>
    <t>Sosta &gt; 20 min</t>
  </si>
  <si>
    <t>Sosta &gt; 30 min</t>
  </si>
  <si>
    <t>Sosta &gt; 40 min</t>
  </si>
  <si>
    <t>Sosta &gt; 50 min</t>
  </si>
  <si>
    <t>In pausa &gt; 5 min</t>
  </si>
  <si>
    <t>Soste totali</t>
  </si>
  <si>
    <t>Durata dell'eccezione n. 1</t>
  </si>
  <si>
    <t>Conteggio dell'eccezione n. 1</t>
  </si>
  <si>
    <t>Distanza dell'eccezione n. 1</t>
  </si>
  <si>
    <t>Durata dell'eccezione n. 2</t>
  </si>
  <si>
    <t>Conteggio dell'eccezione n. 2</t>
  </si>
  <si>
    <t>Distanza dell'eccezione n. 2</t>
  </si>
  <si>
    <t>Durata dell'eccezione n. 3</t>
  </si>
  <si>
    <t>Conteggio dell'eccezione n. 3</t>
  </si>
  <si>
    <t>Distanza dell'eccezione n. 3</t>
  </si>
  <si>
    <t>Durata dell'eccezione n. 4</t>
  </si>
  <si>
    <t>Conteggio dell'eccezione n. 4</t>
  </si>
  <si>
    <t>Distanza dell'eccezione n. 4</t>
  </si>
  <si>
    <t>Durata dell'eccezione n. 5</t>
  </si>
  <si>
    <t>Conteggio dell'eccezione n. 5</t>
  </si>
  <si>
    <t>Distanza dell'eccezione n. 5</t>
  </si>
  <si>
    <t>Durata dell'eccezione n. 6</t>
  </si>
  <si>
    <t>Conteggio dell'eccezione n. 6</t>
  </si>
  <si>
    <t>Distanza dell'eccezione n. 6</t>
  </si>
  <si>
    <t>Riassunto del report di gestione dei rischi</t>
  </si>
  <si>
    <t>Creato</t>
  </si>
  <si>
    <t>Unità di distanza</t>
  </si>
  <si>
    <t>Unità di velocità</t>
  </si>
  <si>
    <t>Cognome</t>
  </si>
  <si>
    <t>项目</t>
  </si>
  <si>
    <t>期间编号</t>
  </si>
  <si>
    <t>期间开始日期</t>
  </si>
  <si>
    <t>期间结束日期</t>
  </si>
  <si>
    <t>速度 &gt; 限值 1</t>
  </si>
  <si>
    <t>速度 &gt; 限值 2</t>
  </si>
  <si>
    <t>速度 &gt; 限值 3</t>
  </si>
  <si>
    <t>停车 &lt; 10 分钟。</t>
  </si>
  <si>
    <t>停车 &gt; 10 分钟。</t>
  </si>
  <si>
    <t>停车 &gt; 20 分钟。</t>
  </si>
  <si>
    <t>停车 &gt; 30 分钟。</t>
  </si>
  <si>
    <t>停车 &gt; 40 分钟。</t>
  </si>
  <si>
    <t>停车 &gt; 50 分钟。</t>
  </si>
  <si>
    <t>怠速 &gt; 5 分钟。</t>
  </si>
  <si>
    <t>停车总次数</t>
  </si>
  <si>
    <t>异常 #1 时长</t>
  </si>
  <si>
    <t>异常 #1 计数</t>
  </si>
  <si>
    <t>异常 #1 距离</t>
  </si>
  <si>
    <t>异常 #2 时长</t>
  </si>
  <si>
    <t>异常 #2 计数</t>
  </si>
  <si>
    <t>异常 #2 距离</t>
  </si>
  <si>
    <t>异常 #3 时长</t>
  </si>
  <si>
    <t>异常 #3 计数</t>
  </si>
  <si>
    <t>异常 #3 距离</t>
  </si>
  <si>
    <t>异常 #4 时长</t>
  </si>
  <si>
    <t>异常 #4 计数</t>
  </si>
  <si>
    <t>异常 #4 距离</t>
  </si>
  <si>
    <t>异常 #5 时长</t>
  </si>
  <si>
    <t>异常 #5 计数</t>
  </si>
  <si>
    <t>异常 #5 距离</t>
  </si>
  <si>
    <t>异常 #6 时长</t>
  </si>
  <si>
    <t>异常 #6 计数</t>
  </si>
  <si>
    <t>异常 #6 距离</t>
  </si>
  <si>
    <t>风险管理报告汇总</t>
  </si>
  <si>
    <t>创建日期</t>
  </si>
  <si>
    <t>自</t>
  </si>
  <si>
    <t>至</t>
  </si>
  <si>
    <t>距离单位</t>
  </si>
  <si>
    <t>速度单位</t>
  </si>
  <si>
    <t>名字</t>
  </si>
  <si>
    <t>姓氏</t>
  </si>
  <si>
    <t>Simplified Chinese</t>
  </si>
  <si>
    <t>组</t>
  </si>
  <si>
    <t>平均速度</t>
  </si>
  <si>
    <t>怠速时长</t>
  </si>
  <si>
    <t>工作时间外用车行程</t>
  </si>
  <si>
    <t>总距离</t>
  </si>
  <si>
    <t>风险管理报告</t>
  </si>
  <si>
    <t>电子邮件</t>
  </si>
  <si>
    <t>TimeZone</t>
  </si>
  <si>
    <t>**Time Zone</t>
  </si>
  <si>
    <t>Fuseau horaire</t>
  </si>
  <si>
    <t>Huso horario</t>
  </si>
  <si>
    <t>Zeitzone</t>
  </si>
  <si>
    <t>タイムゾーン</t>
  </si>
  <si>
    <t>Strefa czasowa</t>
  </si>
  <si>
    <t>Zona horária</t>
  </si>
  <si>
    <t>Tijdzone</t>
  </si>
  <si>
    <t>Fuso orario</t>
  </si>
  <si>
    <t>时区</t>
  </si>
  <si>
    <t>Thai</t>
  </si>
  <si>
    <t>รายการ</t>
  </si>
  <si>
    <t>กลุ่ม</t>
  </si>
  <si>
    <t>หมายเลขช่วงเวลา</t>
  </si>
  <si>
    <t>วันที่เริ่มต้นช่วงเวลา</t>
  </si>
  <si>
    <t>วันที่สิ้นสุดช่วงเวลา</t>
  </si>
  <si>
    <t>ความเร็ว &gt; ค่าจำกัด 1</t>
  </si>
  <si>
    <t>ความเร็ว &gt; ค่าจำกัด 2</t>
  </si>
  <si>
    <t>ความเร็ว &gt; ค่าจำกัด 3</t>
  </si>
  <si>
    <t>ความเร็วเฉลี่ย</t>
  </si>
  <si>
    <t>การหยุด &lt; 10 นาที</t>
  </si>
  <si>
    <t>การหยุด &gt; 10 นาที</t>
  </si>
  <si>
    <t>การหยุด &gt; 20 นาที</t>
  </si>
  <si>
    <t>การหยุด &gt; 30 นาที</t>
  </si>
  <si>
    <t>การหยุด &gt; 40 นาที</t>
  </si>
  <si>
    <t>การหยุด &gt; 50 นาที</t>
  </si>
  <si>
    <t>การเดินเครื่องเบา &gt; 5 นาที</t>
  </si>
  <si>
    <t>ระยะเวลาเดินเครื่องเบา</t>
  </si>
  <si>
    <t>เที่ยวขับหลังชั่วโมงทำงาน</t>
  </si>
  <si>
    <t>ระยะทางรวม</t>
  </si>
  <si>
    <t>การหยุดรวม</t>
  </si>
  <si>
    <t>ระยะเวลาของความผิดปกติ #1</t>
  </si>
  <si>
    <t>จำนวนความผิดปกติ #1</t>
  </si>
  <si>
    <t>ระยะทางของความผิดปกติ #1</t>
  </si>
  <si>
    <t>ระยะเวลาของความผิดปกติ #2</t>
  </si>
  <si>
    <t>จำนวนความผิดปกติ #2</t>
  </si>
  <si>
    <t>ระยะทางของความผิดปกติ #2</t>
  </si>
  <si>
    <t>ระยะเวลาของความผิดปกติ #3</t>
  </si>
  <si>
    <t>จำนวนความผิดปกติ #3</t>
  </si>
  <si>
    <t>ระยะทางของความผิดปกติ #3</t>
  </si>
  <si>
    <t>ระยะเวลาของความผิดปกติ #4</t>
  </si>
  <si>
    <t>จำนวนความผิดปกติ #4</t>
  </si>
  <si>
    <t>ระยะทางของความผิดปกติ #4</t>
  </si>
  <si>
    <t>ระยะเวลาของความผิดปกติ #5</t>
  </si>
  <si>
    <t>จำนวนความผิดปกติ #5</t>
  </si>
  <si>
    <t>ระยะทางของความผิดปกติ #5</t>
  </si>
  <si>
    <t>ระยะเวลาของความผิดปกติ #6</t>
  </si>
  <si>
    <t>จำนวนความผิดปกติ #6</t>
  </si>
  <si>
    <t>ระยะทางของความผิดปกติ #6</t>
  </si>
  <si>
    <t>รายงานการจัดการความเสี่ยง</t>
  </si>
  <si>
    <t>สรุปรายงานการจัดการความเสี่ยง</t>
  </si>
  <si>
    <t>สร้างแล้ว</t>
  </si>
  <si>
    <t>จาก</t>
  </si>
  <si>
    <t>ถึง</t>
  </si>
  <si>
    <t>หน่วยระยะทาง</t>
  </si>
  <si>
    <t>หน่วยความเร็ว</t>
  </si>
  <si>
    <t>ความเร็วสูงสุด</t>
  </si>
  <si>
    <t>ชื่อ</t>
  </si>
  <si>
    <t>นามสกุล</t>
  </si>
  <si>
    <t>อีเมล</t>
  </si>
  <si>
    <t>โซนเวลา</t>
  </si>
  <si>
    <t>Desde</t>
  </si>
  <si>
    <t>Hasta</t>
  </si>
  <si>
    <t>Bis</t>
  </si>
  <si>
    <t>Tot</t>
  </si>
  <si>
    <t>Indonesian</t>
  </si>
  <si>
    <t>Grup</t>
  </si>
  <si>
    <t>Tanggal Mulai Periode</t>
  </si>
  <si>
    <t>Tanggal Akhir Periode</t>
  </si>
  <si>
    <t>Kecepatan &gt; Batas 1</t>
  </si>
  <si>
    <t>Kecepatan &gt; Batas 2</t>
  </si>
  <si>
    <t>Kecepatan &gt; Batas 3</t>
  </si>
  <si>
    <t>Kecepatan Rata-Rata</t>
  </si>
  <si>
    <t>Berhenti &lt; 10 menit</t>
  </si>
  <si>
    <t>Berhenti &gt; 10 menit</t>
  </si>
  <si>
    <t>Berhenti &gt; 20 menit</t>
  </si>
  <si>
    <t>Berhenti &gt; 30 menit</t>
  </si>
  <si>
    <t>Berhenti &gt; 40 menit</t>
  </si>
  <si>
    <t>Berhenti &gt; 50 menit</t>
  </si>
  <si>
    <t>Stasioner &gt; 5 menit</t>
  </si>
  <si>
    <t>Durasi Stasioner</t>
  </si>
  <si>
    <t>Perjalanan Setelah Jam Kerja</t>
  </si>
  <si>
    <t>Total Jarak</t>
  </si>
  <si>
    <t>Total Perhentian</t>
  </si>
  <si>
    <t>Durasi Pengecualian #1</t>
  </si>
  <si>
    <t>Jumlah Pengecualian #1</t>
  </si>
  <si>
    <t>Jarak Pengecualian #1</t>
  </si>
  <si>
    <t>Durasi Pengecualian #2</t>
  </si>
  <si>
    <t>Jumlah Pengecualian #2</t>
  </si>
  <si>
    <t>Jarak Pengecualian #2</t>
  </si>
  <si>
    <t>Durasi Pengecualian #3</t>
  </si>
  <si>
    <t>Jumlah Pengecualian #3</t>
  </si>
  <si>
    <t>Jarak Pengecualian #3</t>
  </si>
  <si>
    <t>Durasi Pengecualian #4</t>
  </si>
  <si>
    <t>Jumlah Pengecualian #4</t>
  </si>
  <si>
    <t>Jarak Pengecualian #4</t>
  </si>
  <si>
    <t>Durasi Pengecualian #5</t>
  </si>
  <si>
    <t>Jumlah Pengecualian #5</t>
  </si>
  <si>
    <t>Jarak Pengecualian #5</t>
  </si>
  <si>
    <t>Durasi Pengecualian #6</t>
  </si>
  <si>
    <t>Jumlah Pengecualian #6</t>
  </si>
  <si>
    <t>Jarak Pengecualian #6</t>
  </si>
  <si>
    <t>Dibuat</t>
  </si>
  <si>
    <t>Dari</t>
  </si>
  <si>
    <t>Hingga</t>
  </si>
  <si>
    <t>Satuan Jarak</t>
  </si>
  <si>
    <t>Nama Depan</t>
  </si>
  <si>
    <t>Nama belakang</t>
  </si>
  <si>
    <t>Zona Waktu</t>
  </si>
  <si>
    <t>Date</t>
  </si>
  <si>
    <t>**Idling Duration %</t>
  </si>
  <si>
    <t>**Idling Violations</t>
  </si>
  <si>
    <t>**Date</t>
  </si>
  <si>
    <t>**Days</t>
  </si>
  <si>
    <t>Include</t>
  </si>
  <si>
    <t>Czech</t>
  </si>
  <si>
    <t>Swedish</t>
  </si>
  <si>
    <t>**The Idling Violations Report displays idling duration and idling percentage data. This Report uses default idling logic, where an exception is captured if a vehicle idles for 3 minutes and 20 seconds or longer. idling percentage is calculated based on the relationship between idling duration and total engine hours. For example, if a vehicle idles for 2 hours out of 4 total engine hours, the idling percentage is 50%.</t>
  </si>
  <si>
    <t>Le rapport de violations de marche au ralenti indique la durée et le pourcentage d’utilisation de la marche au ralenti. Ce rapport utilise la logique de marche au ralenti par défaut, où une exception est enregistrée si un véhicule marche au ralenti pendant 3 minutes et 20 secondes ou plus. le pourcentage de marche au ralenti est calculé en fonction de la relation entre la durée de marche au ralenti et le nombre total d’heures moteur. Par exemple, si un véhicule marche au ralenti pendant 2 heures sur un total de 4 heures moteur, le pourcentage de marche au ralenti est de 50 %.</t>
  </si>
  <si>
    <t>El reporte Infracciones en ralentí muestra el tiempo en ralentí y los datos del porcentaje en ralentí. Este reporte utiliza la lógica en ralentí predeterminada, en la que se captura una excepción si un vehículo presenta un funcionamiento en ralentí durante 3 minutos y 20 segundos o más. El porcentaje en ralentí se calcula en función de la relación entre la duración del ralentí y el tiempo total que el motor ha estado encendido. Por ejemplo, si un vehículo funciona en ralentí durante 2 horas de un total de 4 horas del tiempo que el motor ha estado encendido, el porcentaje en ralentí es del 50 %.</t>
  </si>
  <si>
    <t>Der Bericht „Leerlaufverstöße“ zeigt Leerlaufdauer und Leerlaufprozentsatz an. Dieser Bericht wendet eine Standard-Leerlauflogik an, bei der eine Ausnahme erfasst wird, wenn ein Fahrzeug 3 Minuten und 20 Sekunden oder länger im Leerlauf ist. Der Leerlaufprozentsatz wird als Verhältnis zwischen Leerlaufdauer und Gesamt-Motorbetriebsstunden berechnet. Zum Beispiel: Läuft ein Fahrzeug 2 Stunden von 4 Betriebsstunden insgesamt im Leerlauf, beträgt der Leerlaufprozentsatz 50 %.</t>
  </si>
  <si>
    <t>アイドリング違反数レポートには、アイドリング期間とアイドリング率のデータが表示されます。このレポートで使用しているデフォルトのアイドリングロジックでは、車両が 3 分 20 秒以上アイドリングしていると例外がキャプチャされます。アイドリング率は、アイドリング期間と総エンジン使用時間の関係に基づいて計算されます。例えば、4 時間の総エンジン使用時間のうち 2 時間アイドリングしている場合、アイドリング率は 50％になります。</t>
  </si>
  <si>
    <t>Raport Naruszenia dotyczące pracy na biegu jałowym wyświetla dane dotyczące czasu pracy na biegu jałowym i wartości procentowej pracy na biegu jałowym. Ten raport wykorzystuje domyślną logikę pracy na biegu jałowym, gdzie wyjątek jest rejestrowany, gdy pojazd pracuje na biegu jałowym przez 3 minuty i 20 sekund lub dłużej. wartość procentowa pracy na biegu jałowym jest obliczana na podstawie zależności między czasem pracy na biegu jałowym a całkowitą liczbą godzin pracy silnika. Na przykład, jeśli pojazd pracuje na biegu jałowym przez 2 godziny z 4 godzin pracy silnika, wartość procentowa pracy na biegu jałowym wynosi 50%.</t>
  </si>
  <si>
    <t>O Relatório de violações de veículo parado com motor ligado exibe o tempo de parada com motor ligado e seus dados de porcentagem. Este Relatório usa a lógica de parada padrão, em que uma exceção é captada se um veículo ficar parado com motor ligado por 3 minutos e 20 segundos ou mais. A porcentagem de veículo parado com motor ligado é calculada com base na relação entre o tempo de parada com motor ligado e o total de horas de motor. Por exemplo, se um veículo ficar parado com motor ligado por 2 horas de um total de 4 horas de motor, a porcentagem do veículo parado com motor ligado é de 50%.</t>
  </si>
  <si>
    <t>Het rapport Overtredingen stationair draaien geeft de gegevens over de duur van het stationair draaien en het percentage stationair draaien weer. Dit rapport maakt gebruik van de standaard stationair-logica, waarbij een uitzonderlijk voorval wordt geregistreerd als een voertuig gedurende 3 minuten en 20 seconden of langer stationair draait. het percentage stationair draaien wordt berekend uit de verhouding van de duur van het stationair draaien en het totale aantal motoruren. Draait een voertuig bijvoorbeeld 2 uur van de in totaal 4 motoruren stationair, dan is het percentage stationair draaien 50%.</t>
  </si>
  <si>
    <t>Il report Violazioni di sosta a motore acceso mostra i dati relativi a durata e percentuale di sosta a motore acceso. Nel report viene utilizzata la logica della sosta a motore acceso predefinita, che prevede l'acquisizione di un'eccezione se un veicolo resta a motore acceso per almeno 3 minuti e 20 secondi. La percentuale di sosta a motore acceso viene calcolata in base al rapporto tra la durata di sosta a motore acceso e le ore motore totali. Ad esempio, per un veicolo che resta a motore acceso per 2 ore su 4 ore motore totali, la percentuale di sosta a motore acceso è pari al 50%.</t>
  </si>
  <si>
    <t>“怠速运转违例报告”显示怠速时长和怠速运转百分比数据。本报告使用默认怠速运转逻辑，如果车辆怠速运转超过 3 分 20 秒或更长时间，则会捕获异常。怠速运转百分比根据怠速时长和总发动机运转小时数之间的关系计算得出。例如，在 4 小时的总发动机运转小时数中，如果车辆怠速运转 2 小时，则怠速运转百分比为 50%。</t>
  </si>
  <si>
    <t>รายงานการละเมิดการเดินเครื่องเบาจะแสดงข้อมูลระยะเวลาเดินเครื่องเบาและเปอร์เซ็นต์การเดินเครื่องเบา รายงานนี้ใช้ตรรกะการเดินเครื่องเบาตามค่าเริ่มต้น ซึ่งจะบันทึกความผิดปกติหากรถเดินเครื่องเบาเป็นเวลา 3 นาที 20 วินาทีหรือนานกว่านั้น เปอร์เซ็นต์การเดินเครื่องเบาจะถูกคำนวณตามความสัมพันธ์ระหว่างระยะเวลาเดินเครื่องเบาและจำนวนชั่วโมงเดินเครื่องรวม ตัวอย่างเช่น หากรถเดินเครื่องเบาเป็นเวลา 2 ชั่วโมงจากจำนวนชั่วโมงเดินเครื่องรวม 4 ชั่วโมง เปอร์เซ็นต์การเดินเครื่องเบาจะเท่ากับ 50%</t>
  </si>
  <si>
    <t>Laporan Pelanggaran Stasioner menampilkan durasi stasioner dan data persentase stasioner. Laporan ini menggunakan logika stasioner default, di mana pengecualian dicatat jika kendaraan diam selama 3 menit dan 20 detik atau lebih lama. persentase stasioner dihitung berdasarkan hubungan antara durasi stasioner dan total jam mesin. Misalnya, jika kendaraan diam selama 2 jam dari total 4 jam mesin, persentase stasioner adalah 50%.</t>
  </si>
  <si>
    <t>Výkaz Porušení volnoběhu udává hodnoty délky volnoběhu a procentuální hodnoty volnoběhu. Výkaz využívá výchozí logiku volnoběhu, která zaznamená výjimku v případě, že motor vozidla běží na volnoběh po dobu 3 minut a 20 sekund nebo déle. hodnota volnoběhu v procentech se vypočte na základě vztahu mezi délkou volnoběhu a celkovou dobou chodu motoru. Pokud například motor vozidla běží na volnoběh 2 hodiny z celkové doby chodu motoru 4 hodiny, je procentuální hodnota volnoběhu 50 %.</t>
  </si>
  <si>
    <t>Rapporten om överträdelse mot tomgångsvaraktighet visar data om tomgångsvaraktighet och tomgångsprocent. Den här rapporten använder standardlogik för tomgångskörning, där ett undantag registreras om ett fordon går på tomgång i minst 3 minuter och 20 sekunder. tomgångsprocenten beräknas baserat på förhållandet mellan tomgångsvaraktigheten och det totala antalet motortimmar. Om ett fordon till exempel går på tomgång i 2 timmar av 4 totala motortimmar är tomgångsprocenten 50 %.</t>
  </si>
  <si>
    <t>**Driving Duration (h:m:s)</t>
  </si>
  <si>
    <t>Durée de conduite (h:m:s)</t>
  </si>
  <si>
    <t>Duración de conducción (h:m:s)</t>
  </si>
  <si>
    <t>Fahrtdauer (h:m:s)</t>
  </si>
  <si>
    <t>走行時間（h：m：s）</t>
  </si>
  <si>
    <t>Czas jazdy (h:m:s)</t>
  </si>
  <si>
    <t>Duração da condução (h:m:s)</t>
  </si>
  <si>
    <t>Rijduur (u:m:s)</t>
  </si>
  <si>
    <t>Durata di guida (h:m:s)</t>
  </si>
  <si>
    <t>驾驶时长 (h:m:s)</t>
  </si>
  <si>
    <t>ระยะเวลาการขับ (h:m:s)</t>
  </si>
  <si>
    <t>Durasi Berkendara (j:m:d)</t>
  </si>
  <si>
    <t>Délka jízdy (h:m:s)</t>
  </si>
  <si>
    <t>Körningsvaraktighet (h:m:s)</t>
  </si>
  <si>
    <t>**Idling Duration (h:m:s)</t>
  </si>
  <si>
    <t>Durée de marche au ralenti (h:m:s)</t>
  </si>
  <si>
    <t>Tiempo en ralentí (h:m:s)</t>
  </si>
  <si>
    <t>Leerlaufdauer (h:m:s)</t>
  </si>
  <si>
    <t>アイドリング期間（h：m：s）</t>
  </si>
  <si>
    <t>Czas pracy na biegu jałowym (h:m:s)</t>
  </si>
  <si>
    <t>Tempo parado com motor ligado (h:m:s)</t>
  </si>
  <si>
    <t>Duur stationair draaien (u:m:s)</t>
  </si>
  <si>
    <t>Durata della sosta a motore acceso (h:m:s)</t>
  </si>
  <si>
    <t>怠速时长 (h:m:s)</t>
  </si>
  <si>
    <t>ระยะเวลาเดินเครื่องเบา (h:m:s)</t>
  </si>
  <si>
    <t>Durasi Stasioner (j:m:d)</t>
  </si>
  <si>
    <t>Délka volnoběhu (h:m:s)</t>
  </si>
  <si>
    <t>Tomgångsvaraktighet (h:m:s)</t>
  </si>
  <si>
    <t>**Engine Hours (h:m:s)</t>
  </si>
  <si>
    <t>Heures moteur (h:m:s)</t>
  </si>
  <si>
    <t>Horas de funcionamiento del motor (h:m:s)</t>
  </si>
  <si>
    <t>Motorbetriebsstunden (h:m:s)</t>
  </si>
  <si>
    <t>エンジン使用時間（h：m：s）</t>
  </si>
  <si>
    <t>Godziny pracy silnika (h:m:s)</t>
  </si>
  <si>
    <t>Horas de motor (h:m:s)</t>
  </si>
  <si>
    <t>Motoruren (u:m:s)</t>
  </si>
  <si>
    <t>Ore motore (h:m:s)</t>
  </si>
  <si>
    <t>发动机运转小时数 (h:m:s)</t>
  </si>
  <si>
    <t>จำนวนชั่วโมงเดินเครื่อง (h:m:s)</t>
  </si>
  <si>
    <t>Jam Mesin (j:m:d)</t>
  </si>
  <si>
    <t>Doba chodu motoru (h:m:s)</t>
  </si>
  <si>
    <t>Motortimmar (h:m:s)</t>
  </si>
  <si>
    <t>Durée de marche au ralenti en %</t>
  </si>
  <si>
    <t>% de tiempo en ralentí</t>
  </si>
  <si>
    <t>Leerlaufdauer %</t>
  </si>
  <si>
    <t>アイドリング期間（％）</t>
  </si>
  <si>
    <t>Wartość procentowa czasu trwania pracy na biegu jałowym</t>
  </si>
  <si>
    <t>% de tempo parado com motor ligado</t>
  </si>
  <si>
    <t>Duur stationair draaien %</t>
  </si>
  <si>
    <t>% durata sosta a motore acceso</t>
  </si>
  <si>
    <t>怠速时长 (%)</t>
  </si>
  <si>
    <t>% ระยะเวลาเดินเครื่องเบา</t>
  </si>
  <si>
    <t>% Durasi Stasioner</t>
  </si>
  <si>
    <t>Délka volnoběhu</t>
  </si>
  <si>
    <t>Tomgångsvaraktighet %</t>
  </si>
  <si>
    <t>Violations de marche au ralenti</t>
  </si>
  <si>
    <t>Infracciones en ralentí</t>
  </si>
  <si>
    <t>Leerlaufverstöße</t>
  </si>
  <si>
    <t>アイドリング違反数</t>
  </si>
  <si>
    <t>Naruszenia dotyczące pracy na biegu jałowym</t>
  </si>
  <si>
    <t>Violações de veículo parado com motor ligado</t>
  </si>
  <si>
    <t>Overtredingen stationair draaien</t>
  </si>
  <si>
    <t>Violazioni di sosta a motore acceso</t>
  </si>
  <si>
    <t>怠速运转违例</t>
  </si>
  <si>
    <t>การละเมิดการเดินเครื่องเบา</t>
  </si>
  <si>
    <t>Pelanggaran Stasioner</t>
  </si>
  <si>
    <t>Porušení volnoběhu</t>
  </si>
  <si>
    <t>Överträdelse av tomgångskörning</t>
  </si>
  <si>
    <t>Barang</t>
  </si>
  <si>
    <t>Položka</t>
  </si>
  <si>
    <t>Artikel</t>
  </si>
  <si>
    <t>Skupina</t>
  </si>
  <si>
    <t>Grupp</t>
  </si>
  <si>
    <t>Nomor Periode</t>
  </si>
  <si>
    <t>Číslo období</t>
  </si>
  <si>
    <t>Periodnummer</t>
  </si>
  <si>
    <t>Datum začátku období</t>
  </si>
  <si>
    <t>Periodens startdatum</t>
  </si>
  <si>
    <t>Datum konce období</t>
  </si>
  <si>
    <t>Periodens slutdatum</t>
  </si>
  <si>
    <t>Rychlost &gt; limit 1</t>
  </si>
  <si>
    <t>Hastighet &gt; Gräns 1</t>
  </si>
  <si>
    <t>Rychlost &gt; limit 2</t>
  </si>
  <si>
    <t>Hastighet &gt; Gräns 2</t>
  </si>
  <si>
    <t>Rychlost &gt; limit 3</t>
  </si>
  <si>
    <t>Hastighet &gt; Gräns 3</t>
  </si>
  <si>
    <t>Průměrná rychlost</t>
  </si>
  <si>
    <t>Medelhastighet</t>
  </si>
  <si>
    <t>Zastávka &lt; 10 minut.</t>
  </si>
  <si>
    <t>Stopp &lt; 10 min.</t>
  </si>
  <si>
    <t>Zastávka &gt; 10 minut.</t>
  </si>
  <si>
    <t>Stopp &gt; 10 min.</t>
  </si>
  <si>
    <t>Zastávka &gt; 20 minut.</t>
  </si>
  <si>
    <t>Stopp &gt; 20 min.</t>
  </si>
  <si>
    <t>Zastávka &gt; 30 minut.</t>
  </si>
  <si>
    <t>Stopp &gt; 30 min.</t>
  </si>
  <si>
    <t>Zastávka &gt; 40 minut.</t>
  </si>
  <si>
    <t>Stopp &gt; 40 min.</t>
  </si>
  <si>
    <t>Zastávka &gt; 50 minut.</t>
  </si>
  <si>
    <t>Stopp &gt; 50 min.</t>
  </si>
  <si>
    <t>Volnoběh &gt; 5 minut.</t>
  </si>
  <si>
    <t>Tomgång &gt; 5 min.</t>
  </si>
  <si>
    <t>Czas na biegu jałowym</t>
  </si>
  <si>
    <t>Tomgångsvaraktighet</t>
  </si>
  <si>
    <t>Cesty mimo pracovní dobu</t>
  </si>
  <si>
    <t>Färder efter arbetstid</t>
  </si>
  <si>
    <t>Całkowity dystans</t>
  </si>
  <si>
    <t>Celková vzdálenost</t>
  </si>
  <si>
    <t>Total distans</t>
  </si>
  <si>
    <t>Celkem zastávek</t>
  </si>
  <si>
    <t>Totalt antal stopp</t>
  </si>
  <si>
    <t>Doba trvání výjimky #1</t>
  </si>
  <si>
    <t>Undantag #1 Varaktighet</t>
  </si>
  <si>
    <t>Počet výjimky #1</t>
  </si>
  <si>
    <t>Undantag #1 Antal</t>
  </si>
  <si>
    <t>Vzdálenost výjimky #1</t>
  </si>
  <si>
    <t>Undantag #1 Distans</t>
  </si>
  <si>
    <t>Doba trvání výjimky #2</t>
  </si>
  <si>
    <t>Undantag #2 Varaktighet</t>
  </si>
  <si>
    <t>Počet výjimky #2</t>
  </si>
  <si>
    <t>Undantag #2 Antal</t>
  </si>
  <si>
    <t>Vzdálenost výjimky #2</t>
  </si>
  <si>
    <t>Undantag #2 Distans</t>
  </si>
  <si>
    <t>Doba trvání výjimky #3</t>
  </si>
  <si>
    <t>Undantag #3 Varaktighet</t>
  </si>
  <si>
    <t>Počet výjimky #3</t>
  </si>
  <si>
    <t>Undantag #3 Antal</t>
  </si>
  <si>
    <t>Vzdálenost výjimky #3</t>
  </si>
  <si>
    <t>Undantag #3 Distans</t>
  </si>
  <si>
    <t>Doba trvání výjimky #4</t>
  </si>
  <si>
    <t>Undantag #4 Varaktighet</t>
  </si>
  <si>
    <t>Počet výjimky #4</t>
  </si>
  <si>
    <t>Undantag #4 Antal</t>
  </si>
  <si>
    <t>Vzdálenost výjimky #4</t>
  </si>
  <si>
    <t>Undantag #4 Distans</t>
  </si>
  <si>
    <t>Doba trvání výjimky #5</t>
  </si>
  <si>
    <t>Undantag #5 Varaktighet</t>
  </si>
  <si>
    <t>Počet výjimky #5</t>
  </si>
  <si>
    <t>Undantag #5 Antal</t>
  </si>
  <si>
    <t>Vzdálenost výjimky #5</t>
  </si>
  <si>
    <t>Undantag #5 Distans</t>
  </si>
  <si>
    <t>Doba trvání výjimky #6</t>
  </si>
  <si>
    <t>Undantag #6 Varaktighet</t>
  </si>
  <si>
    <t>Počet výjimky #6</t>
  </si>
  <si>
    <t>Undantag #6 Antal</t>
  </si>
  <si>
    <t>Vzdálenost výjimky #6</t>
  </si>
  <si>
    <t>Undantag #6 Distans</t>
  </si>
  <si>
    <t>Rapport de gestion de risque</t>
  </si>
  <si>
    <t>リスクマネージメント報告書</t>
  </si>
  <si>
    <t>Raport dotyczący zarządzania ryzykiem</t>
  </si>
  <si>
    <t>Rapporto di gestione dei rischi</t>
  </si>
  <si>
    <t>Laporan Manajemen Risiko</t>
  </si>
  <si>
    <t>Výkaz o řízení rizik</t>
  </si>
  <si>
    <t>Riskhanteringsrapport</t>
  </si>
  <si>
    <t>Ringkasan Laporan Manajemen Risiko</t>
  </si>
  <si>
    <t>Souhrn výkazu o řízení rizik</t>
  </si>
  <si>
    <t>Summering av riskhanteringsrapport</t>
  </si>
  <si>
    <t>Vytvořeno</t>
  </si>
  <si>
    <t>Skapad</t>
  </si>
  <si>
    <t>De</t>
  </si>
  <si>
    <t>停車時刻</t>
  </si>
  <si>
    <t>Da</t>
  </si>
  <si>
    <t>Från</t>
  </si>
  <si>
    <t>À</t>
  </si>
  <si>
    <t>発車時刻</t>
  </si>
  <si>
    <t>Para</t>
  </si>
  <si>
    <t>A</t>
  </si>
  <si>
    <t>Do/pro</t>
  </si>
  <si>
    <t>Till</t>
  </si>
  <si>
    <t>Jednotka vzdálenosti</t>
  </si>
  <si>
    <t>Distansenhet</t>
  </si>
  <si>
    <t>Satuan Kecepatan</t>
  </si>
  <si>
    <t>Jednotka rychlosti</t>
  </si>
  <si>
    <t>Hastighetsenhet</t>
  </si>
  <si>
    <t>Max. Geschwindigkeit</t>
  </si>
  <si>
    <t>Maksymalna prędkość</t>
  </si>
  <si>
    <t>Velocità massima</t>
  </si>
  <si>
    <t>最大速度</t>
  </si>
  <si>
    <t>Kecepatan Maks</t>
  </si>
  <si>
    <t>Maximální rychlost</t>
  </si>
  <si>
    <t>Maxhastighet</t>
  </si>
  <si>
    <t>Křestní jméno</t>
  </si>
  <si>
    <t>Förnamn</t>
  </si>
  <si>
    <t>Příjmení</t>
  </si>
  <si>
    <t>Efternamn</t>
  </si>
  <si>
    <t>メール</t>
  </si>
  <si>
    <t>E-post</t>
  </si>
  <si>
    <t>Časové pásmo</t>
  </si>
  <si>
    <t>Tidszon</t>
  </si>
  <si>
    <t>Jours</t>
  </si>
  <si>
    <t>Días</t>
  </si>
  <si>
    <t>Tage</t>
  </si>
  <si>
    <t>日</t>
  </si>
  <si>
    <t>Dni</t>
  </si>
  <si>
    <t>Dias</t>
  </si>
  <si>
    <t>Dagen</t>
  </si>
  <si>
    <t>Giorni</t>
  </si>
  <si>
    <t>天</t>
  </si>
  <si>
    <t>วัน</t>
  </si>
  <si>
    <t>Hari</t>
  </si>
  <si>
    <t>Dny</t>
  </si>
  <si>
    <t>Dagar</t>
  </si>
  <si>
    <t>Fecha</t>
  </si>
  <si>
    <t>Datum</t>
  </si>
  <si>
    <t>データ</t>
  </si>
  <si>
    <t>Data</t>
  </si>
  <si>
    <t>日期</t>
  </si>
  <si>
    <t>วันที่</t>
  </si>
  <si>
    <t>Tanggal</t>
  </si>
  <si>
    <t>**Idling %</t>
  </si>
  <si>
    <t>Turkish</t>
  </si>
  <si>
    <t>Öğe</t>
  </si>
  <si>
    <t>Zaman Dilimi Numarası</t>
  </si>
  <si>
    <t>Zaman Dilimi Başlangıç Tarihi</t>
  </si>
  <si>
    <t>Zaman Dilimi Bitiş Tarihi</t>
  </si>
  <si>
    <t>Hız &gt; Sınır 1</t>
  </si>
  <si>
    <t>Hız &gt; Sınır 2</t>
  </si>
  <si>
    <t>Hız &gt; Sınır 3</t>
  </si>
  <si>
    <t>Ortalama Hız</t>
  </si>
  <si>
    <t>Duraklama &lt; 10 dk.</t>
  </si>
  <si>
    <t>Duraklama &gt; 10 dk.</t>
  </si>
  <si>
    <t>Duraklama &gt; 20 dk.</t>
  </si>
  <si>
    <t>Duraklama &gt; 30 dk.</t>
  </si>
  <si>
    <t>Duraklama &gt; 40 dk.</t>
  </si>
  <si>
    <t>Duraklama &gt; 50 dk.</t>
  </si>
  <si>
    <t>Rölanti &gt; 5 dk.</t>
  </si>
  <si>
    <t>Rölanti Süresi</t>
  </si>
  <si>
    <t>Çalışma Saatleri Dışı Yolculuklar</t>
  </si>
  <si>
    <t>Toplam Mesafe</t>
  </si>
  <si>
    <t>Toplam Duraklama</t>
  </si>
  <si>
    <t>Kural Dışı Durum No. 1 Süresi</t>
  </si>
  <si>
    <t>Kural Dışı Durum No. 1 Sayısı</t>
  </si>
  <si>
    <t>Kural Dışı Durum No. 1 Mesafesi</t>
  </si>
  <si>
    <t>Kural Dışı Durum No. 2 Süresi</t>
  </si>
  <si>
    <t>Kural Dışı Durum No. 2 Sayısı</t>
  </si>
  <si>
    <t>Kural Dışı Durum No. 2 Mesafesi</t>
  </si>
  <si>
    <t>Kural Dışı Durum No. 3 Süresi</t>
  </si>
  <si>
    <t>Kural Dışı Durum No. 3 Sayısı</t>
  </si>
  <si>
    <t>Kural Dışı Durum No. 3 Mesafesi</t>
  </si>
  <si>
    <t>Kural Dışı Durum No. 4 Süresi</t>
  </si>
  <si>
    <t>Kural Dışı Durum No. 4 Sayısı</t>
  </si>
  <si>
    <t>Kural Dışı Durum No. 4 Mesafesi</t>
  </si>
  <si>
    <t>Kural Dışı Durum No. 5 Süresi</t>
  </si>
  <si>
    <t>Kural Dışı Durum No. 5 Sayısı</t>
  </si>
  <si>
    <t>Kural Dışı Durum No. 5 Mesafesi</t>
  </si>
  <si>
    <t>Kural Dışı Durum No. 6 Süresi</t>
  </si>
  <si>
    <t>Kural Dışı Durum No. 6 Sayısı</t>
  </si>
  <si>
    <t>Kural Dışı Durum No. 6 Mesafesi</t>
  </si>
  <si>
    <t>Risk Yönetimi Raporu</t>
  </si>
  <si>
    <t>Risk Yönetimi Raporu Özeti</t>
  </si>
  <si>
    <t>Oluşturuldu</t>
  </si>
  <si>
    <t>Gönderen</t>
  </si>
  <si>
    <t>Alıcı</t>
  </si>
  <si>
    <t>Mesafe Birimi</t>
  </si>
  <si>
    <t>Hız Birimi</t>
  </si>
  <si>
    <t>Maks. Hız</t>
  </si>
  <si>
    <t>Ad</t>
  </si>
  <si>
    <t>Soyadı</t>
  </si>
  <si>
    <t>E-posta</t>
  </si>
  <si>
    <t>Saat Dilimi</t>
  </si>
  <si>
    <t>Rölanti İhlalleri Raporu, rölanti süresi ve rölanti yüzdesi verilerini görüntüler. Bu Rapor, bir aracın 3 dakika 20 saniye veya daha uzun süre rölantide kalması durumunda bir kural dışı durum olarak kaydedilen varsayılan rölanti mantığını kullanır. rölanti yüzdesi, rölanti süresiyle toplam motor saati arasındaki ilişkiye göre hesaplanır. Örneğin bir araç toplam 4 motor saati içinde 2 saat rölantide kalırsa rölanti yüzdesi %50 olur.</t>
  </si>
  <si>
    <t>Sürüş Süresi (sa:dk:sn)</t>
  </si>
  <si>
    <t>Rölanti Süresi (sa:dk:sn)</t>
  </si>
  <si>
    <t>Motor Saati (sa:dk:sn)</t>
  </si>
  <si>
    <t>Rölanti Süresi Yüzdesi</t>
  </si>
  <si>
    <t>Rölanti Yüzdesi</t>
  </si>
  <si>
    <t>Rölanti İhlalleri</t>
  </si>
  <si>
    <t>Gün</t>
  </si>
  <si>
    <t>Tarih</t>
  </si>
  <si>
    <t>DeviceId</t>
  </si>
  <si>
    <t>UserId</t>
  </si>
  <si>
    <t>b1A</t>
  </si>
  <si>
    <t>b1B</t>
  </si>
  <si>
    <t>b1C</t>
  </si>
  <si>
    <t>b1D</t>
  </si>
  <si>
    <t>b1E</t>
  </si>
  <si>
    <t>b1F</t>
  </si>
  <si>
    <t>Device ID</t>
  </si>
  <si>
    <t>User ID</t>
  </si>
  <si>
    <t>**Highest Idling Duration</t>
  </si>
  <si>
    <t>Durée de marche au ralenti la plus élevée</t>
  </si>
  <si>
    <t>Mayor tiempo en ralentí</t>
  </si>
  <si>
    <t>Längste Gesamtdauer Motorleerlauf</t>
  </si>
  <si>
    <t>最大アイドリング期間</t>
  </si>
  <si>
    <t>Najwięcej czasu na biegu jałowym</t>
  </si>
  <si>
    <t>Maior duração de tempo parado com motor ligado</t>
  </si>
  <si>
    <t>Langste duur stationair draaien</t>
  </si>
  <si>
    <t>Maggior durata delle soste a motore acceso</t>
  </si>
  <si>
    <t>最高怠速时长</t>
  </si>
  <si>
    <t>ระยะเวลาเดินเครื่องเบาสูงสุด</t>
  </si>
  <si>
    <t>Durasi Stasioner Tertinggi</t>
  </si>
  <si>
    <t>Nejvyšší hodnota délky volnoběhu</t>
  </si>
  <si>
    <t>Högsta tomgångstid</t>
  </si>
  <si>
    <t>En Yüksek Rölanti Süresi</t>
  </si>
  <si>
    <t>Malay</t>
  </si>
  <si>
    <t>Kumpulan</t>
  </si>
  <si>
    <t>Nombor Tempoh</t>
  </si>
  <si>
    <t>Tarikh Mula Tempoh</t>
  </si>
  <si>
    <t>Tarikh Tamat Tempoh</t>
  </si>
  <si>
    <t>Kelajuan &gt; Had 1</t>
  </si>
  <si>
    <t>Kelajuan &gt; Had 2</t>
  </si>
  <si>
    <t>Kelajuan &gt; Had 3</t>
  </si>
  <si>
    <t>Kelajuan purata</t>
  </si>
  <si>
    <t>Berhenti &lt; 10 min.</t>
  </si>
  <si>
    <t>Berhenti &gt; 10 min.</t>
  </si>
  <si>
    <t>Berhenti &gt; 20 min.</t>
  </si>
  <si>
    <t>Berhenti &gt; 30 min.</t>
  </si>
  <si>
    <t>Berhenti &gt; 40 min.</t>
  </si>
  <si>
    <t>Berhenti &gt; 50 min.</t>
  </si>
  <si>
    <t>Melahu &gt; 5 min.</t>
  </si>
  <si>
    <t>Tempoh Melahu</t>
  </si>
  <si>
    <t>Perjalanan di luar waktu kerja</t>
  </si>
  <si>
    <t>Jumlah Jarak</t>
  </si>
  <si>
    <t>Jumlah Hentian</t>
  </si>
  <si>
    <t>Pengecualian #1 Tempoh</t>
  </si>
  <si>
    <t>Pengecualian #1 Kiraan</t>
  </si>
  <si>
    <t>Pengecualian #1 Jarak</t>
  </si>
  <si>
    <t>Pengecualian #2 Tempoh</t>
  </si>
  <si>
    <t>Pengecualian #2 Kiraan</t>
  </si>
  <si>
    <t>Pengecualian #2 Jarak</t>
  </si>
  <si>
    <t>Pengecualian #3 Tempoh</t>
  </si>
  <si>
    <t>Pengecualian #3 Kiraan</t>
  </si>
  <si>
    <t>Pengecualian #3 Jarak</t>
  </si>
  <si>
    <t>Pengecualian #4 Tempoh</t>
  </si>
  <si>
    <t>Pengecualian #4 Kiraan</t>
  </si>
  <si>
    <t>Pengecualian #4 Jarak</t>
  </si>
  <si>
    <t>Pengecualian #5 Tempoh</t>
  </si>
  <si>
    <t>Pengecualian #5 Kiraan</t>
  </si>
  <si>
    <t>Pengecualian #5 Jarak</t>
  </si>
  <si>
    <t>Pengecualian #6 Tempoh</t>
  </si>
  <si>
    <t>Pengecualian #6 Kiraan</t>
  </si>
  <si>
    <t>Pengecualian #6 Jarak</t>
  </si>
  <si>
    <t>Laporan pengurusan risiko</t>
  </si>
  <si>
    <t>Ringkasan Laporan Pengurusan Risiko</t>
  </si>
  <si>
    <t>Dicipta</t>
  </si>
  <si>
    <t>Daripada</t>
  </si>
  <si>
    <t>Ke</t>
  </si>
  <si>
    <t>Unit Jarak</t>
  </si>
  <si>
    <t>Unit Kelajuan</t>
  </si>
  <si>
    <t>Kelajuan Maks</t>
  </si>
  <si>
    <t>Nama pertama</t>
  </si>
  <si>
    <t>Nama keluarga</t>
  </si>
  <si>
    <t>E-mel</t>
  </si>
  <si>
    <t>Zon Waktu</t>
  </si>
  <si>
    <t>Laporan Pelanggaran Melahu memaparkan data tempoh melahu dan peratusan melahu. Laporan ini menggunakan logik melahu lalai, iaitu apabila sesuatu pengecualian ditangkap jika kenderaan melahu selama 3 minit dan 20 saat atau lebih lama. Peratusan melahu dikira berdasarkan hubungan antara tempoh melahu dengan jumlah jam enjin. Contohnya, jika kenderaan melahu selama 2 jam daripada 4 jumlah jam enjin, peratusan melahu ialah 50%.</t>
  </si>
  <si>
    <t>Tempoh Pemanduan (j:m:s)</t>
  </si>
  <si>
    <t>Tempoh Melahu (j:m:s)</t>
  </si>
  <si>
    <t>Jam Enjin Beroperasi (j:m:s)</t>
  </si>
  <si>
    <t>% Tempoh Melahu</t>
  </si>
  <si>
    <t>% Melahu</t>
  </si>
  <si>
    <t>Pelanggaran Melahu</t>
  </si>
  <si>
    <t>hari</t>
  </si>
  <si>
    <t>Tarikh</t>
  </si>
  <si>
    <t>Highest Idling Duration</t>
  </si>
  <si>
    <t>French France</t>
  </si>
  <si>
    <t>Numéro de la période</t>
  </si>
  <si>
    <t>Date de début de la période</t>
  </si>
  <si>
    <t>Date de fin de la période</t>
  </si>
  <si>
    <t>Vitesse moyenne</t>
  </si>
  <si>
    <t>Marche au ralenti &gt; 5 min.</t>
  </si>
  <si>
    <t>Durée marche au ralenti</t>
  </si>
  <si>
    <t>Trajets en dehors des heures normales de travail</t>
  </si>
  <si>
    <t>Total d’arrêts</t>
  </si>
  <si>
    <t>Irrégularité #1 durée</t>
  </si>
  <si>
    <t>Irrégularité #1 nombre</t>
  </si>
  <si>
    <t>Irrégularité #1 distance</t>
  </si>
  <si>
    <t>Irrégularité #2 durée</t>
  </si>
  <si>
    <t>Irrégularité #2 nombre</t>
  </si>
  <si>
    <t>Irrégularité #2 distance</t>
  </si>
  <si>
    <t>Irrégularité #3 durée</t>
  </si>
  <si>
    <t>Irrégularité #3 nombre</t>
  </si>
  <si>
    <t>Irrégularité #3 distance</t>
  </si>
  <si>
    <t>Irrégularité #4 durée</t>
  </si>
  <si>
    <t>Irrégularité #4 nombre</t>
  </si>
  <si>
    <t>Irrégularité #4 distance</t>
  </si>
  <si>
    <t>Irrégularité #5 durée</t>
  </si>
  <si>
    <t>Irrégularité #5 nombre</t>
  </si>
  <si>
    <t>Irrégularité #5 distance</t>
  </si>
  <si>
    <t>Irrégularité #6 durée</t>
  </si>
  <si>
    <t>Irrégularité #6 nombre</t>
  </si>
  <si>
    <t>Irrégularité #6 distance</t>
  </si>
  <si>
    <t>Rapport de gestion du risque</t>
  </si>
  <si>
    <t>Rapport résumé de gestion du risque</t>
  </si>
  <si>
    <t>À partir du</t>
  </si>
  <si>
    <t>Adresse e-mail</t>
  </si>
  <si>
    <t>Le rapport Infractions de marche au ralenti affiche la durée et le pourcentage de marche au ralenti. Ce rapport s’appuie sur une logique de marche au ralenti par défaut. Une irrégularité est déclenchée si un véhicule tourne au ralenti pendant 3 minutes et 20 secondes ou plus. Le pourcentage est calculé selon la relation entre la durée de marche au ralenti et les heures-moteur totales. Par exemple, si un véhicule tourne au ralenti pendant 2 heures sur 4 heures d'heures-moteur totales, le pourcentage de ralenti est de 50 %.</t>
  </si>
  <si>
    <t>heures-moteur (h:m:s)</t>
  </si>
  <si>
    <t>% de la durée de marche au ralenti</t>
  </si>
  <si>
    <t>% de marche au ralenti</t>
  </si>
  <si>
    <t>Infractions de marche au ralenti</t>
  </si>
  <si>
    <t>jours</t>
  </si>
  <si>
    <t>Marche au ralenti la plus longue</t>
  </si>
  <si>
    <t>French Canada</t>
  </si>
  <si>
    <t>DriverGroup|Company Group</t>
  </si>
  <si>
    <t>DeviceGroup|Company Group</t>
  </si>
  <si>
    <t>Korean</t>
  </si>
  <si>
    <t>항목</t>
  </si>
  <si>
    <t>그룹</t>
  </si>
  <si>
    <t>기간 번호</t>
  </si>
  <si>
    <t>기간 시작일</t>
  </si>
  <si>
    <t>기간 종료일</t>
  </si>
  <si>
    <t>속도 &gt; 제한 1</t>
  </si>
  <si>
    <t>속도 &gt; 제한 2</t>
  </si>
  <si>
    <t>속도 &gt; 제한 3</t>
  </si>
  <si>
    <t>평균 속도</t>
  </si>
  <si>
    <t>정지 10분 미만</t>
  </si>
  <si>
    <t>정지 10분 초과</t>
  </si>
  <si>
    <t>정지 20분 초과</t>
  </si>
  <si>
    <t>정지 30분 초과</t>
  </si>
  <si>
    <t>정지 40분 초과</t>
  </si>
  <si>
    <t>정지 50분 초과</t>
  </si>
  <si>
    <t>공회전 5분 미만</t>
  </si>
  <si>
    <t>공회전 지속 시간</t>
  </si>
  <si>
    <t>작업 시간 이후 주행</t>
  </si>
  <si>
    <t>총 거리</t>
  </si>
  <si>
    <t>정지 합계</t>
  </si>
  <si>
    <t>제외 #1 지속 시간</t>
  </si>
  <si>
    <t>제외 #1 횟수</t>
  </si>
  <si>
    <t>제외 #1 거리</t>
  </si>
  <si>
    <t>제외 #2 지속 시간</t>
  </si>
  <si>
    <t>제외 #2 횟수</t>
  </si>
  <si>
    <t>제외 #2 거리</t>
  </si>
  <si>
    <t>제외 #3 지속 시간</t>
  </si>
  <si>
    <t>제외 #3 횟수</t>
  </si>
  <si>
    <t>제외 #3 거리</t>
  </si>
  <si>
    <t>제외 #4 지속 시간</t>
  </si>
  <si>
    <t>제외 #4 횟수</t>
  </si>
  <si>
    <t>제외 #4 거리</t>
  </si>
  <si>
    <t>제외 #5 지속 시간</t>
  </si>
  <si>
    <t>제외 #5 횟수</t>
  </si>
  <si>
    <t>제외 #5 거리</t>
  </si>
  <si>
    <t>제외 #6 지속 시간</t>
  </si>
  <si>
    <t>제외 #6 횟수</t>
  </si>
  <si>
    <t>제외 #6 거리</t>
  </si>
  <si>
    <t>위험 관리 보고서</t>
  </si>
  <si>
    <t>위험 관리 보고서 요약</t>
  </si>
  <si>
    <t>생성됨</t>
  </si>
  <si>
    <t>시작</t>
  </si>
  <si>
    <t>대상</t>
  </si>
  <si>
    <t>거리 단위</t>
  </si>
  <si>
    <t>속도 단위</t>
  </si>
  <si>
    <t>최대 속도</t>
  </si>
  <si>
    <t>이름</t>
  </si>
  <si>
    <t>성</t>
  </si>
  <si>
    <t>이메일</t>
  </si>
  <si>
    <t>시간대</t>
  </si>
  <si>
    <t>공회전 위반 보고서는 공회전 지속 시간 및 공회전 비율 데이터를 표시합니다. 이 보고서는 기본 공회전 로직을 사용하며, 차량이 3분 20초 이상 공회전할 경우 예외로 캡처됩니다. 공회전 비율은 엔진 총 가동 시간과 공회전 지속 시간의 관계를 기반으로 계산됩니다. 예를 들어, 차량의 총 엔진 가동 시간이 4시간이고 공회전이 2시간일 경우 공회전 비율은 50%입니다.</t>
  </si>
  <si>
    <t>주행 지속 시간(h:m:s)</t>
  </si>
  <si>
    <t>공회전 지속 시간 (h:m:s)</t>
  </si>
  <si>
    <t>엔진 시간(시:분:초)</t>
  </si>
  <si>
    <t>공회전 지속 시간 %</t>
  </si>
  <si>
    <t>공회전 %</t>
  </si>
  <si>
    <t>공회전 위반</t>
  </si>
  <si>
    <t>일</t>
  </si>
  <si>
    <t>날짜</t>
  </si>
  <si>
    <t>공회전 지속 시간 최고</t>
  </si>
  <si>
    <t>Traditional Chinese</t>
  </si>
  <si>
    <t>群組</t>
  </si>
  <si>
    <t>期間編號</t>
  </si>
  <si>
    <t>期間開始日期</t>
  </si>
  <si>
    <t>期間結束日期</t>
  </si>
  <si>
    <t>速度 &gt; 限制 1</t>
  </si>
  <si>
    <t>速度 &gt; 限制 2</t>
  </si>
  <si>
    <t>速度 &gt; 限制 3</t>
  </si>
  <si>
    <t>停車 &lt; 10 分鐘。</t>
  </si>
  <si>
    <t>停車 &gt; 10 分鐘。</t>
  </si>
  <si>
    <t>停車 &gt; 20 分鐘。</t>
  </si>
  <si>
    <t>停車 &gt; 30 分鐘。</t>
  </si>
  <si>
    <t>停車 &gt; 40 分鐘。</t>
  </si>
  <si>
    <t>停車 &gt; 50 分鐘。</t>
  </si>
  <si>
    <t>怠速 &gt; 5 分鐘。</t>
  </si>
  <si>
    <t>怠速持續時間</t>
  </si>
  <si>
    <t>非工時行程</t>
  </si>
  <si>
    <t>總距離</t>
  </si>
  <si>
    <t>總停車</t>
  </si>
  <si>
    <t>例外 #1 持續時間</t>
  </si>
  <si>
    <t>例外 #1 計數</t>
  </si>
  <si>
    <t>例外 #1 距離</t>
  </si>
  <si>
    <t>例外 #2 持續時間</t>
  </si>
  <si>
    <t>例外 #2 計數</t>
  </si>
  <si>
    <t>例外 #2 距離</t>
  </si>
  <si>
    <t>例外 #3 持續時間</t>
  </si>
  <si>
    <t>例外 #3 計數</t>
  </si>
  <si>
    <t>例外 #3 距離</t>
  </si>
  <si>
    <t>例外 #4 計數</t>
  </si>
  <si>
    <t>例外 #4 距離</t>
  </si>
  <si>
    <t>例外 #5 持續時間</t>
  </si>
  <si>
    <t>例外 #5 計數</t>
  </si>
  <si>
    <t>例外 #5 距離</t>
  </si>
  <si>
    <t>例外 #6 持續時間</t>
  </si>
  <si>
    <t>例外 #6 計數</t>
  </si>
  <si>
    <t>例外 #6 距離</t>
  </si>
  <si>
    <t>風險管理報告</t>
  </si>
  <si>
    <t>風險管理報告摘要</t>
  </si>
  <si>
    <t>已建立</t>
  </si>
  <si>
    <t>從</t>
  </si>
  <si>
    <t>距離單位</t>
  </si>
  <si>
    <t>速度單位</t>
  </si>
  <si>
    <t>電子郵件</t>
  </si>
  <si>
    <t>時區</t>
  </si>
  <si>
    <t>「怠速違規報告」可顯示怠速持續時間與怠速百分比資料。此報告使用預設怠速邏輯，即如果車輛怠速 3 分鐘 20 秒或更長時間，會捕捉例外。怠速百分比會根據怠速持續時間與總引擎時數之間的關係進行計算。例如，如果車輛在 4 小時的總引擎時數中怠速 2 小時，怠速百分比為 50%。</t>
  </si>
  <si>
    <t>駕駛持續時間 (h:m:s)</t>
  </si>
  <si>
    <t>怠速持續時間 (h:m:s)</t>
  </si>
  <si>
    <t>引擎時數 (h:m:s)</t>
  </si>
  <si>
    <t>怠速持續時間 %</t>
  </si>
  <si>
    <t>怠速 %</t>
  </si>
  <si>
    <t>怠速違規</t>
  </si>
  <si>
    <t>最高怠速持續時間</t>
  </si>
  <si>
    <t>例外 #4 持續時間</t>
  </si>
  <si>
    <t>Danish</t>
  </si>
  <si>
    <t>Finnish</t>
  </si>
  <si>
    <t>Hungarian</t>
  </si>
  <si>
    <t>Norwegian</t>
  </si>
  <si>
    <t>Slovak</t>
  </si>
  <si>
    <t>Kohde</t>
  </si>
  <si>
    <t>Tétel</t>
  </si>
  <si>
    <t>Vare</t>
  </si>
  <si>
    <t>Ryhmä</t>
  </si>
  <si>
    <t>Csoport</t>
  </si>
  <si>
    <t>Jakson numero</t>
  </si>
  <si>
    <t>Időszak száma</t>
  </si>
  <si>
    <t>Číslo obdobia</t>
  </si>
  <si>
    <t>Periodens startdato</t>
  </si>
  <si>
    <t>Jakson alkamispäivä</t>
  </si>
  <si>
    <t>Időszak kezdő dátuma</t>
  </si>
  <si>
    <t>Dátum začiatku obdobia</t>
  </si>
  <si>
    <t>Periodens slutdato</t>
  </si>
  <si>
    <t>Jakson päättymispäivä</t>
  </si>
  <si>
    <t>Időszak befejezési dátuma</t>
  </si>
  <si>
    <t>Periodens sluttdato</t>
  </si>
  <si>
    <t>Dátum konca obdobia</t>
  </si>
  <si>
    <t>Hastighed &gt; grænse 1</t>
  </si>
  <si>
    <t>Nopeus &gt; rajoitus 1</t>
  </si>
  <si>
    <t>Sebesség &gt; 1. korlát</t>
  </si>
  <si>
    <t>Hastighet &gt; grense 1</t>
  </si>
  <si>
    <t>Rýchlosť &gt; Limit 1</t>
  </si>
  <si>
    <t>Hastighed &gt; grænse 2</t>
  </si>
  <si>
    <t>Nopeus &gt; rajoitus 2</t>
  </si>
  <si>
    <t>Sebesség &gt; 2. korlát</t>
  </si>
  <si>
    <t>Hastighet &gt; grense 2</t>
  </si>
  <si>
    <t>Rýchlosť &gt; Limit 2</t>
  </si>
  <si>
    <t>Hastighed &gt; grænse 3</t>
  </si>
  <si>
    <t>Nopeus &gt; rajoitus 3</t>
  </si>
  <si>
    <t>Sebesség &gt; 3. korlát</t>
  </si>
  <si>
    <t>Hastighet &gt; grense 3</t>
  </si>
  <si>
    <t>Rýchlosť &gt; Limit 3</t>
  </si>
  <si>
    <t>Gennemsnitlig hastighed</t>
  </si>
  <si>
    <t>Keskinopeus</t>
  </si>
  <si>
    <t>Átlagos sebesség</t>
  </si>
  <si>
    <t>Gjennomsnittlig hastighet</t>
  </si>
  <si>
    <t>Priemerná rýchlosť</t>
  </si>
  <si>
    <t>Pysähdys &lt; 10 min</t>
  </si>
  <si>
    <t>Megálló &lt; 10 perc.</t>
  </si>
  <si>
    <t>Stopp &lt; 10 minutter.</t>
  </si>
  <si>
    <t>Zastávka &lt; 10 min</t>
  </si>
  <si>
    <t>Pysähdys &gt; 10 min</t>
  </si>
  <si>
    <t>Megálló &gt; 10 perc.</t>
  </si>
  <si>
    <t>Stopp &gt; 10 minutter.</t>
  </si>
  <si>
    <t>Zastávka &gt; 10 min</t>
  </si>
  <si>
    <t>Pysähdys &gt; 20 min</t>
  </si>
  <si>
    <t>Megálló &gt; 20 perc.</t>
  </si>
  <si>
    <t>Stopp &gt; 20 minutter.</t>
  </si>
  <si>
    <t>Zastávka &gt; 20 min</t>
  </si>
  <si>
    <t>Pysähdys &gt; 30 min</t>
  </si>
  <si>
    <t>Megálló &gt; 30 perc.</t>
  </si>
  <si>
    <t>Stopp &gt; 30 minutter.</t>
  </si>
  <si>
    <t>Zastávka &gt; 30 min</t>
  </si>
  <si>
    <t>Pysähdys &gt; 40 min</t>
  </si>
  <si>
    <t>Megálló &gt; 40 perc.</t>
  </si>
  <si>
    <t>Stopp &gt; 40 minutter.</t>
  </si>
  <si>
    <t>Zastávka &gt; 40 min</t>
  </si>
  <si>
    <t>Pysähdys &gt; 50 min</t>
  </si>
  <si>
    <t>Megálló &gt; 50 perc.</t>
  </si>
  <si>
    <t>Stopp &gt; 50 minutter.</t>
  </si>
  <si>
    <t>Zastávka &gt; 50 min</t>
  </si>
  <si>
    <t>Tomgang &gt; 5 min.</t>
  </si>
  <si>
    <t>Tyhjäkäynti &gt; 5 min</t>
  </si>
  <si>
    <t>Holtidő &gt; 5 perc.</t>
  </si>
  <si>
    <t>Tomgang &gt; 5 minutter.</t>
  </si>
  <si>
    <t>Voľnobeh &gt; 5 min</t>
  </si>
  <si>
    <t>Varighed af tomgang</t>
  </si>
  <si>
    <t>Tyhjäkäynnin kesto</t>
  </si>
  <si>
    <t>Tétlenségi időtartam</t>
  </si>
  <si>
    <t>Tomgangsvarighet</t>
  </si>
  <si>
    <t>Trvanie voľnobehu</t>
  </si>
  <si>
    <t>Ture uden for almindelig arbejdstid</t>
  </si>
  <si>
    <t>Perustyöajan jälkeiset matkat</t>
  </si>
  <si>
    <t>Munkaidő utáni utak</t>
  </si>
  <si>
    <t>Etter arbeidstid, turer</t>
  </si>
  <si>
    <t>Jazdy mimo pracovného času</t>
  </si>
  <si>
    <t>Samlet afstand</t>
  </si>
  <si>
    <t>Kokonaismatka</t>
  </si>
  <si>
    <t>Teljes távolság</t>
  </si>
  <si>
    <t>Total distanse</t>
  </si>
  <si>
    <t>Celková vzdialenosť</t>
  </si>
  <si>
    <t>Samlet antal stop</t>
  </si>
  <si>
    <t>Pysähdykset yhteensä</t>
  </si>
  <si>
    <t>Összes megálló</t>
  </si>
  <si>
    <t>Totalt antall stopp</t>
  </si>
  <si>
    <t>Celkový počet zastávok</t>
  </si>
  <si>
    <t>Undtagelse nr. 1 varighed</t>
  </si>
  <si>
    <t>Poikkeuksen 1 kesto</t>
  </si>
  <si>
    <t>Időtartam 1. kivétel</t>
  </si>
  <si>
    <t>Unntak #1, varighet</t>
  </si>
  <si>
    <t>Trvanie výnimky č. 1</t>
  </si>
  <si>
    <t>Undtagelse nr. 1 tælling</t>
  </si>
  <si>
    <t>Poikkeuksen 1 määrä</t>
  </si>
  <si>
    <t>Szám 1. kivétel</t>
  </si>
  <si>
    <t>Unntak #1, antall</t>
  </si>
  <si>
    <t>Počet výnimiek č. 1</t>
  </si>
  <si>
    <t>Undtagelse nr. 1 afstand</t>
  </si>
  <si>
    <t>Poikkeuksen 1 matka</t>
  </si>
  <si>
    <t>Távolság 1. kivétel</t>
  </si>
  <si>
    <t>Unntak #1, avstand</t>
  </si>
  <si>
    <t>Vzdialenosť výnimky č. 1</t>
  </si>
  <si>
    <t>Undtagelse nr. 2 varighed</t>
  </si>
  <si>
    <t>Poikkeuksen 2 kesto</t>
  </si>
  <si>
    <t>Időtartam 2. kivétel</t>
  </si>
  <si>
    <t>Unntak #2, varighet</t>
  </si>
  <si>
    <t>Trvanie výnimky č. 2</t>
  </si>
  <si>
    <t>Undtagelse nr. 2 tælling</t>
  </si>
  <si>
    <t>Poikkeuksen 2 määrä</t>
  </si>
  <si>
    <t>Szám 2. kivétel</t>
  </si>
  <si>
    <t>Unntak #2, antall</t>
  </si>
  <si>
    <t>Počet výnimiek č. 2</t>
  </si>
  <si>
    <t>Undtagelse nr. 2 afstand</t>
  </si>
  <si>
    <t>Poikkeuksen 2 matka</t>
  </si>
  <si>
    <t>Távolság 2. kivétel</t>
  </si>
  <si>
    <t>Unntak #2, avstand</t>
  </si>
  <si>
    <t>Vzdialenosť výnimky č. 2</t>
  </si>
  <si>
    <t>Undtagelse nr. 3 varighed</t>
  </si>
  <si>
    <t>Poikkeuksen 3 kesto</t>
  </si>
  <si>
    <t>Időtartam 3. kivétel</t>
  </si>
  <si>
    <t>Unntak #3, varighet</t>
  </si>
  <si>
    <t>Trvanie výnimky č. 3</t>
  </si>
  <si>
    <t>Undtagelse nr. 3 tælling</t>
  </si>
  <si>
    <t>Poikkeuksen 3 määrä</t>
  </si>
  <si>
    <t>Szám 3. kivétel</t>
  </si>
  <si>
    <t>Unntak #3, antall</t>
  </si>
  <si>
    <t>Počet výnimiek č. 3</t>
  </si>
  <si>
    <t>Undtagelse nr. 3 afstand</t>
  </si>
  <si>
    <t>Poikkeuksen 3 matka</t>
  </si>
  <si>
    <t>Távolság 3. kivétel</t>
  </si>
  <si>
    <t>Unntak #3, avstand</t>
  </si>
  <si>
    <t>Vzdialenosť výnimky č. 3</t>
  </si>
  <si>
    <t>Undtagelse nr. 4 varighed</t>
  </si>
  <si>
    <t>Poikkeuksen 4 kesto</t>
  </si>
  <si>
    <t>Időtartam 4. kivétel</t>
  </si>
  <si>
    <t>Unntak #4, varighet</t>
  </si>
  <si>
    <t>Trvanie výnimky č. 4</t>
  </si>
  <si>
    <t>Undtagelse nr. 4 tælling</t>
  </si>
  <si>
    <t>Poikkeuksen 4 määrä</t>
  </si>
  <si>
    <t>Szám 4. kivétel</t>
  </si>
  <si>
    <t>Unntak #4, antall</t>
  </si>
  <si>
    <t>Počet výnimiek č. 4</t>
  </si>
  <si>
    <t>Undtagelse nr. 4 afstand</t>
  </si>
  <si>
    <t>Poikkeuksen 4 matka</t>
  </si>
  <si>
    <t>Távolság 4. kivétel</t>
  </si>
  <si>
    <t>Unntak #4, avstand</t>
  </si>
  <si>
    <t>Vzdialenosť výnimky č. 4</t>
  </si>
  <si>
    <t>Undtagelse nr. 5 varighed</t>
  </si>
  <si>
    <t>Poikkeuksen 5 kesto</t>
  </si>
  <si>
    <t>Időtartam 5. kivétel</t>
  </si>
  <si>
    <t>Unntak #5, varighet</t>
  </si>
  <si>
    <t>Trvanie výnimky č. 5</t>
  </si>
  <si>
    <t>Undtagelse nr. 5 tælling</t>
  </si>
  <si>
    <t>Poikkeuksen 5 määrä</t>
  </si>
  <si>
    <t>Szám 5. kivétel</t>
  </si>
  <si>
    <t>Unntak #5, antall</t>
  </si>
  <si>
    <t>Počet výnimiek č. 5</t>
  </si>
  <si>
    <t>Undtagelse nr. 5 afstand</t>
  </si>
  <si>
    <t>Poikkeuksen 5 matka</t>
  </si>
  <si>
    <t>Távolság 5. kivétel</t>
  </si>
  <si>
    <t>Unntak #5, avstand</t>
  </si>
  <si>
    <t>Vzdialenosť výnimky č. 5</t>
  </si>
  <si>
    <t>Undtagelse nr. 6 varighed</t>
  </si>
  <si>
    <t>Poikkeuksen 6 kesto</t>
  </si>
  <si>
    <t>Időtartam 6. kivétel</t>
  </si>
  <si>
    <t>Unntak #6, varighet</t>
  </si>
  <si>
    <t>Trvanie výnimky č. 6</t>
  </si>
  <si>
    <t>Undtagelse nr. 6 tælling</t>
  </si>
  <si>
    <t>Poikkeuksen 6 määrä</t>
  </si>
  <si>
    <t>Szám 6. kivétel</t>
  </si>
  <si>
    <t>Unntak #6, antall</t>
  </si>
  <si>
    <t>Počet výnimiek č. 6</t>
  </si>
  <si>
    <t>Undtagelse nr. 6 afstand</t>
  </si>
  <si>
    <t>Poikkeuksen 6 matka</t>
  </si>
  <si>
    <t>Távolság 6. kivétel</t>
  </si>
  <si>
    <t>Unntak #6, avstand</t>
  </si>
  <si>
    <t>Vzdialenosť výnimky č. 6</t>
  </si>
  <si>
    <t>Risikostyringsrapport</t>
  </si>
  <si>
    <t>Riskienhallintaraportti</t>
  </si>
  <si>
    <t>Kockázatkezelési jelentés</t>
  </si>
  <si>
    <t>Risikohåndteringsrapport</t>
  </si>
  <si>
    <t>Výkaz riadenia rizík</t>
  </si>
  <si>
    <t>Oversigt over risikostyringsrapport</t>
  </si>
  <si>
    <t>Riskienhallintaraportin yhteenveto</t>
  </si>
  <si>
    <t>Kockázatkezelési jelentés összefoglalója</t>
  </si>
  <si>
    <t>Sammendrag av risikohåndteringsrapport</t>
  </si>
  <si>
    <t>Zhrnutie výkazu riadenia rizík</t>
  </si>
  <si>
    <t>Oprettet</t>
  </si>
  <si>
    <t>Luotu</t>
  </si>
  <si>
    <t>Létrehozva</t>
  </si>
  <si>
    <t>Opprettet</t>
  </si>
  <si>
    <t>Vytvorené</t>
  </si>
  <si>
    <t>Fra</t>
  </si>
  <si>
    <t>Alku</t>
  </si>
  <si>
    <t>Feladó</t>
  </si>
  <si>
    <t>Z</t>
  </si>
  <si>
    <t>Til</t>
  </si>
  <si>
    <t>Címzett</t>
  </si>
  <si>
    <t>Afstandsenhed</t>
  </si>
  <si>
    <t>Matkan mittayksikkö</t>
  </si>
  <si>
    <t>Távolság mértékegysége</t>
  </si>
  <si>
    <t>Avstandsenhet</t>
  </si>
  <si>
    <t>Jednotka vzdialenosti</t>
  </si>
  <si>
    <t>Enhed for hastighed</t>
  </si>
  <si>
    <t>Nopeusyksikkö</t>
  </si>
  <si>
    <t>Sebesség mértékegység</t>
  </si>
  <si>
    <t>Jednotka rýchlosti</t>
  </si>
  <si>
    <t>Maks. hastighed</t>
  </si>
  <si>
    <t>Maksiminopeus</t>
  </si>
  <si>
    <t>Max. sebesség</t>
  </si>
  <si>
    <t>Maks. hastighet</t>
  </si>
  <si>
    <t>Maximálna rýchlosť</t>
  </si>
  <si>
    <t>Fornavn</t>
  </si>
  <si>
    <t>Etunimi</t>
  </si>
  <si>
    <t>Keresztnév</t>
  </si>
  <si>
    <t>Krstné meno</t>
  </si>
  <si>
    <t>Efternavn</t>
  </si>
  <si>
    <t>Sukunimi</t>
  </si>
  <si>
    <t>Vezetéknév</t>
  </si>
  <si>
    <t>Etternavn</t>
  </si>
  <si>
    <t>Priezvisko</t>
  </si>
  <si>
    <t>Sähköposti</t>
  </si>
  <si>
    <t>E-mail cím</t>
  </si>
  <si>
    <t>Tidszone</t>
  </si>
  <si>
    <t>Aikavyöhyke</t>
  </si>
  <si>
    <t>Időzóna</t>
  </si>
  <si>
    <t>Tidssone</t>
  </si>
  <si>
    <t>Kørselsvarighed (t:m:s)</t>
  </si>
  <si>
    <t>Ajon kesto (t:min:s)</t>
  </si>
  <si>
    <t>Vezetés időtartama (ó:p:mp)</t>
  </si>
  <si>
    <t>Kjørevarighet (t:m:s)</t>
  </si>
  <si>
    <t>Trvanie jazdy (h:m:s)</t>
  </si>
  <si>
    <t>Varighed af tomgang (t:m:s)</t>
  </si>
  <si>
    <t>Tyhjäkäynnin kesto (h:min:s)</t>
  </si>
  <si>
    <t>Tétlenségi időtartam (ó:p:mp)</t>
  </si>
  <si>
    <t>Tomgangsvarighet i (t:m:s)</t>
  </si>
  <si>
    <t>Trvanie voľnobehu (h:m:s)</t>
  </si>
  <si>
    <t>Motordriftstimer (t:m:s)</t>
  </si>
  <si>
    <t>Moottorin käyttötunnit (t:min:s)</t>
  </si>
  <si>
    <t>Motorüzemidő (ó:p:mp)</t>
  </si>
  <si>
    <t>Motortimer (t:m:s)</t>
  </si>
  <si>
    <t>Motohodiny (h:m:s)</t>
  </si>
  <si>
    <t>Varighed af tomgang i %</t>
  </si>
  <si>
    <t>Tyhjäkäynnin kesto (%)</t>
  </si>
  <si>
    <t>Tétlenségi időtartam %</t>
  </si>
  <si>
    <t>Tomgangsvarighet i %</t>
  </si>
  <si>
    <t>% trvania voľnobehu</t>
  </si>
  <si>
    <t>Tomgang i %</t>
  </si>
  <si>
    <t>Tyhjäkäyntiprosentti</t>
  </si>
  <si>
    <t>Holtidő %</t>
  </si>
  <si>
    <t>% voľnobehu</t>
  </si>
  <si>
    <t>Tomgangsovertrædelser</t>
  </si>
  <si>
    <t>Tyhjäkäyntirikkomukset</t>
  </si>
  <si>
    <t>Tétlenségi szabálysértések</t>
  </si>
  <si>
    <t>Brudd på tomgang</t>
  </si>
  <si>
    <t>Porušovanie pravidiel voľnobehu</t>
  </si>
  <si>
    <t>Dage</t>
  </si>
  <si>
    <t>Päivät</t>
  </si>
  <si>
    <t>Napok</t>
  </si>
  <si>
    <t>Dager</t>
  </si>
  <si>
    <t>Dato</t>
  </si>
  <si>
    <t>Päivämäärä</t>
  </si>
  <si>
    <t>Dátum</t>
  </si>
  <si>
    <t>Højeste varighed af tomgang</t>
  </si>
  <si>
    <t>Pisin tyhjäkäynnin kesto</t>
  </si>
  <si>
    <t>Magas tétlenségi időtartam</t>
  </si>
  <si>
    <t>Varighet for høyeste tomgang</t>
  </si>
  <si>
    <t>Najvyššie trvanie voľnobehu</t>
  </si>
  <si>
    <t>Rapporten over tomgangsovertrædelser viser data for varighed af tomgang og tomgang i procent. Denne rapport anvender standardtomgangslogik, hvor en undtagelse registreres, hvis et køretøj kører i tomgang i 3 minutter og 20 sekunder eller længere. Tomgangen i procent beregnes på baggrund af forholdet mellem varigheden af tomgang og det samlede antal motordriftstimer. Hvis et køretøj f.eks. kører i tomgang i 2 timer ud af 4 motordriftstimer, er tomgangsprocenten på 50 %.</t>
  </si>
  <si>
    <t>Tyhjäkäyntirikkomusten raportissa näkyy tyhjäkäyntien kesto ja tyhjäkäyntiprosentti. Tässä raportissa käytetään tyhjäkäynnin oletuslogiikkaa, jonka mukaisesti poikkeus kirjataan, jos ajoneuvo on tyhjäkäynnillä vähintään kolme minuuttia ja 20 sekuntia. Tyhjäkäyntiprosentti lasketaan moottorin kokonaiskäyttötuntien ja tyhjäkäynnin keston suhteen perusteella. Jos ajoneuvo on tyhjäkäynnillä esimerkiksi kaksi tuntia ja moottorin kokonaiskäyttötunteja on neljä, tyhjäkäyntiprosentti on 50.</t>
  </si>
  <si>
    <t>A Tétlenségi szabálysértésekről szóló jelentés a tétlenségi időtartamot és a tétlenség százalékos adatait jeleníti meg. Ez a jelentés alapértelmezett tétlenségi logikára épül, amely akkor észlel kivételt, ha egy jármű 3 perc 20 másodperccel tovább tétlen. A tétlenségi százalék a tétlenségi időtartam és a teljes motorüzemidő közötti viszony alapján számolható ki. Ha például egy jármű az összesen 4 órás motorüzemidőből 2 órán át tétlen, akkor a tétlenségi százalék 50%.</t>
  </si>
  <si>
    <t>Rapporten om brudd på tomgangskjøring viser tomgangsvarighet og prosentdata for tomgangsprosent. Denne rapporten bruker standard tomgangslogikk, der et unntak registreres hvis et kjøretøy går på tomgang i 3 minutter og 20 sekunder eller lenger. Tomgangsprosent beregnes på grunnlag av forholdet mellom tomgangsvarighet og totalt antall motortimer. Hvis et kjøretøy for eksempel går på tomgang i 2 timer av 4 totale motortimer, er tomgangsprosenten 50 %.</t>
  </si>
  <si>
    <t>Výkaz porušovania pravidiel voľnobehu zobrazuje dĺžku trvania voľnobehu a údaje o percentuálnom podiele voľnobehu. Tento výkaz používa predvolenú logiku voľnobehu, kde sa výnimka zaznamená, ak vozidlo beží na voľnobehu 3 minúty a 20 sekúnd alebo dlhšie. Percento voľnobehu sa počíta na základe pomeru medzi trvaním voľnobehu a celkovými motohodinami. Ak napríklad vozidlo beží na voľnobehu 2 hodiny zo 4 celkových motohodín, percento voľnobehu je 50 %.</t>
  </si>
  <si>
    <t>Sanjaya ( Demo Database)</t>
  </si>
  <si>
    <t>America/Toronto</t>
  </si>
  <si>
    <t>km</t>
  </si>
  <si>
    <t>km/h</t>
  </si>
  <si>
    <t>**&lt;No User&gt;</t>
  </si>
  <si>
    <t>Demo - 01</t>
  </si>
  <si>
    <t>Vehicle, Company Group</t>
  </si>
  <si>
    <t>Vehicle</t>
  </si>
  <si>
    <t>b1</t>
  </si>
  <si>
    <t>Demo - 02</t>
  </si>
  <si>
    <t>b2</t>
  </si>
  <si>
    <t>Demo - 03</t>
  </si>
  <si>
    <t>b3</t>
  </si>
  <si>
    <t>Demo - 04</t>
  </si>
  <si>
    <t>b4</t>
  </si>
  <si>
    <t>Demo - 05</t>
  </si>
  <si>
    <t>b5</t>
  </si>
  <si>
    <t>Demo - 06</t>
  </si>
  <si>
    <t>b6</t>
  </si>
  <si>
    <t>Demo - 07</t>
  </si>
  <si>
    <t>b7</t>
  </si>
  <si>
    <t>Demo - 08</t>
  </si>
  <si>
    <t>b8</t>
  </si>
  <si>
    <t>Demo - 09</t>
  </si>
  <si>
    <t>b9</t>
  </si>
  <si>
    <t>Demo - 10</t>
  </si>
  <si>
    <t>bA</t>
  </si>
  <si>
    <t>Demo - 11</t>
  </si>
  <si>
    <t>bB</t>
  </si>
  <si>
    <t>Demo - 12</t>
  </si>
  <si>
    <t>bC</t>
  </si>
  <si>
    <t>Demo - 13</t>
  </si>
  <si>
    <t>bD</t>
  </si>
  <si>
    <t>Demo - 14</t>
  </si>
  <si>
    <t>bE</t>
  </si>
  <si>
    <t>Demo - 15</t>
  </si>
  <si>
    <t>bF</t>
  </si>
  <si>
    <t>Demo - 16</t>
  </si>
  <si>
    <t>b10</t>
  </si>
  <si>
    <t>Demo - 17</t>
  </si>
  <si>
    <t>b11</t>
  </si>
  <si>
    <t>Demo - 18</t>
  </si>
  <si>
    <t>b12</t>
  </si>
  <si>
    <t>Demo - 19</t>
  </si>
  <si>
    <t>b13</t>
  </si>
  <si>
    <t>Demo - 20</t>
  </si>
  <si>
    <t>b14</t>
  </si>
  <si>
    <t>Demo - 21</t>
  </si>
  <si>
    <t>b15</t>
  </si>
  <si>
    <t>Demo - 22</t>
  </si>
  <si>
    <t>b16</t>
  </si>
  <si>
    <t>Demo - 23</t>
  </si>
  <si>
    <t>b17</t>
  </si>
  <si>
    <t>Demo - 24</t>
  </si>
  <si>
    <t>b18</t>
  </si>
  <si>
    <t>Demo - 25</t>
  </si>
  <si>
    <t>b19</t>
  </si>
  <si>
    <t>Demo - 26</t>
  </si>
  <si>
    <t>Demo - 27</t>
  </si>
  <si>
    <t>Demo - 28</t>
  </si>
  <si>
    <t>Demo - 29</t>
  </si>
  <si>
    <t>Demo - 30</t>
  </si>
  <si>
    <t>Demo - 31</t>
  </si>
  <si>
    <t>Demo - 32</t>
  </si>
  <si>
    <t>b20</t>
  </si>
  <si>
    <t>Demo - 33</t>
  </si>
  <si>
    <t>b21</t>
  </si>
  <si>
    <t>Demo - 34</t>
  </si>
  <si>
    <t>b22</t>
  </si>
  <si>
    <t>Demo - 35</t>
  </si>
  <si>
    <t>b23</t>
  </si>
  <si>
    <t>Demo - 36</t>
  </si>
  <si>
    <t>b24</t>
  </si>
  <si>
    <t>Demo - 37</t>
  </si>
  <si>
    <t>b25</t>
  </si>
  <si>
    <t>Demo - 38</t>
  </si>
  <si>
    <t>b26</t>
  </si>
  <si>
    <t>Demo - 39</t>
  </si>
  <si>
    <t>b27</t>
  </si>
  <si>
    <t>Demo - 40</t>
  </si>
  <si>
    <t>b28</t>
  </si>
  <si>
    <t>Demo - 41</t>
  </si>
  <si>
    <t>b29</t>
  </si>
  <si>
    <t>Demo - 42</t>
  </si>
  <si>
    <t>b2A</t>
  </si>
  <si>
    <t>Demo - 43</t>
  </si>
  <si>
    <t>b2B</t>
  </si>
  <si>
    <t>Demo - 44</t>
  </si>
  <si>
    <t>b2C</t>
  </si>
  <si>
    <t>Demo - 45</t>
  </si>
  <si>
    <t>b2D</t>
  </si>
  <si>
    <t>Demo - 46</t>
  </si>
  <si>
    <t>b2E</t>
  </si>
  <si>
    <t>Demo - 47</t>
  </si>
  <si>
    <t>b2F</t>
  </si>
  <si>
    <t>Demo - 48</t>
  </si>
  <si>
    <t>b30</t>
  </si>
  <si>
    <t>Demo - 49</t>
  </si>
  <si>
    <t>b31</t>
  </si>
  <si>
    <t>Demo - 50</t>
  </si>
  <si>
    <t>b32</t>
  </si>
  <si>
    <t>Idling Violations</t>
  </si>
  <si>
    <t>The Idling Violations Report displays idling duration and idling percentage data. This Report uses default idling logic, where an exception is captured if a vehicle idles for 3 minutes and 20 seconds or longer. idling percentage is calculated based on the relationship between idling duration and total engine hours. For example, if a vehicle idles for 2 hours out of 4 total engine hours, the idling percentage is 50%.</t>
  </si>
  <si>
    <t>Idling Duration (h:m:s)</t>
  </si>
  <si>
    <t>From</t>
  </si>
  <si>
    <t>Idling %</t>
  </si>
  <si>
    <t>To</t>
  </si>
  <si>
    <t>Days</t>
  </si>
  <si>
    <t>Idling Duration</t>
  </si>
  <si>
    <t>Group</t>
  </si>
  <si>
    <t>Driving Duration (h:m:s)</t>
  </si>
  <si>
    <t>Engine Hours (h:m:s)</t>
  </si>
  <si>
    <t>Idling Duration %</t>
  </si>
  <si>
    <t xml:space="preserve">Demo - 31 </t>
  </si>
  <si>
    <t xml:space="preserve">Demo - 15 </t>
  </si>
  <si>
    <t xml:space="preserve">Demo - 32 </t>
  </si>
  <si>
    <t xml:space="preserve">Demo - 33 </t>
  </si>
  <si>
    <t xml:space="preserve">Demo - 18 </t>
  </si>
  <si>
    <t xml:space="preserve">Demo - 34 </t>
  </si>
  <si>
    <t xml:space="preserve">Demo - 17 </t>
  </si>
  <si>
    <t xml:space="preserve">Demo - 27 </t>
  </si>
  <si>
    <t xml:space="preserve">Demo - 24 </t>
  </si>
  <si>
    <t xml:space="preserve">Demo - 28 </t>
  </si>
  <si>
    <t xml:space="preserve">Demo - 16 </t>
  </si>
  <si>
    <t xml:space="preserve">Demo - 29 </t>
  </si>
  <si>
    <t xml:space="preserve">Demo - 45 </t>
  </si>
  <si>
    <t xml:space="preserve">Demo - 44 </t>
  </si>
  <si>
    <t xml:space="preserve">Demo - 01 </t>
  </si>
  <si>
    <t xml:space="preserve">Demo - 23 </t>
  </si>
  <si>
    <t xml:space="preserve">Demo - 19 </t>
  </si>
  <si>
    <t xml:space="preserve">Demo - 07 </t>
  </si>
  <si>
    <t xml:space="preserve">Demo - 25 </t>
  </si>
  <si>
    <t xml:space="preserve">Demo - 05 </t>
  </si>
  <si>
    <t xml:space="preserve">Demo - 02 </t>
  </si>
  <si>
    <t xml:space="preserve">Demo - 08 </t>
  </si>
  <si>
    <t xml:space="preserve">Demo - 41 </t>
  </si>
  <si>
    <t xml:space="preserve">Demo - 13 </t>
  </si>
  <si>
    <t xml:space="preserve">Demo - 30 </t>
  </si>
  <si>
    <t xml:space="preserve">Demo - 14 </t>
  </si>
  <si>
    <t xml:space="preserve">Demo - 04 </t>
  </si>
  <si>
    <t xml:space="preserve">Demo - 11 </t>
  </si>
  <si>
    <t xml:space="preserve">Demo - 03 </t>
  </si>
  <si>
    <t xml:space="preserve">Demo - 46 </t>
  </si>
  <si>
    <t xml:space="preserve">Demo - 39 </t>
  </si>
  <si>
    <t xml:space="preserve">Demo - 26 </t>
  </si>
  <si>
    <t xml:space="preserve">Demo - 35 </t>
  </si>
  <si>
    <t xml:space="preserve">Demo - 42 </t>
  </si>
  <si>
    <t xml:space="preserve">Demo - 40 </t>
  </si>
  <si>
    <t xml:space="preserve">Demo - 12 </t>
  </si>
  <si>
    <t xml:space="preserve">Demo - 20 </t>
  </si>
  <si>
    <t xml:space="preserve">Demo - 06 </t>
  </si>
  <si>
    <t xml:space="preserve">Demo - 21 </t>
  </si>
  <si>
    <t xml:space="preserve">Demo - 36 </t>
  </si>
  <si>
    <t xml:space="preserve">Demo - 09 </t>
  </si>
  <si>
    <t xml:space="preserve">Demo - 43 </t>
  </si>
  <si>
    <t xml:space="preserve">Demo - 22 </t>
  </si>
  <si>
    <t xml:space="preserve">Demo - 10 </t>
  </si>
  <si>
    <t xml:space="preserve">Demo - 38 </t>
  </si>
  <si>
    <t xml:space="preserve">Demo - 37 </t>
  </si>
  <si>
    <t xml:space="preserve">Demo - 50 </t>
  </si>
  <si>
    <t xml:space="preserve">Demo - 49 </t>
  </si>
  <si>
    <t xml:space="preserve">Demo - 48 </t>
  </si>
  <si>
    <t xml:space="preserve">Demo - 47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</si>
</sst>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409]_(&quot;$&quot;* #,##0_);[$-409]_(&quot;$&quot;* \(#,##0\);[$-409]_(&quot;$&quot;* &quot;-&quot;_);_(@_)"/>
    <numFmt numFmtId="165" formatCode="[$-409]_(* #,##0_);[$-409]_(* \(#,##0\);[$-409]_(* &quot;-&quot;_);_(@_)"/>
    <numFmt numFmtId="166" formatCode="[$-409]_(&quot;$&quot;* #,##0.00_);[$-409]_(&quot;$&quot;* \(#,##0.00\);[$-409]_(&quot;$&quot;* &quot;-&quot;??_);_(@_)"/>
    <numFmt numFmtId="167" formatCode="[$-409]_(* #,##0.00_);[$-409]_(* \(#,##0.00\);[$-409]_(* &quot;-&quot;??_);_(@_)"/>
    <numFmt numFmtId="168" formatCode="[$-409][h]:mm"/>
    <numFmt numFmtId="169" formatCode="[$-409]dd/mm/yyyy\ h:mm:ss\ AM/PM"/>
    <numFmt numFmtId="170" formatCode="[$-409]mmm\ dd\,\ yyyy"/>
    <numFmt numFmtId="171" formatCode="[$-409][h]:mm:ss"/>
    <numFmt numFmtId="172" formatCode="[$-409]0.00%"/>
  </numFmts>
  <fonts count="29" x14ac:knownFonts="1">
    <font>
      <sz val="10"/>
      <name val="Arial"/>
      <family val="2"/>
    </font>
    <font>
      <b/>
      <sz val="7"/>
      <color indexed="8"/>
      <name val="Tahoma"/>
      <family val="2"/>
    </font>
    <font>
      <sz val="8"/>
      <color indexed="8"/>
      <name val="Tahoma"/>
      <family val="2"/>
    </font>
    <font>
      <sz val="10"/>
      <name val="Arial"/>
      <family val="2"/>
    </font>
    <font>
      <sz val="11"/>
      <color theme="1"/>
      <name val="Calibri"/>
      <family val="2"/>
      <scheme val="minor"/>
    </font>
    <font>
      <sz val="11"/>
      <color theme="0"/>
      <name val="Calibri"/>
      <family val="2"/>
      <scheme val="minor"/>
    </font>
    <font>
      <b/>
      <sz val="18"/>
      <color theme="1"/>
      <name val="Calibri"/>
      <family val="2"/>
      <scheme val="minor"/>
    </font>
    <font>
      <sz val="11"/>
      <color theme="3"/>
      <name val="Calibri"/>
      <family val="2"/>
      <scheme val="minor"/>
    </font>
    <font>
      <b/>
      <sz val="11"/>
      <color theme="1"/>
      <name val="Calibri"/>
      <family val="2"/>
    </font>
    <font>
      <b/>
      <sz val="11"/>
      <color theme="1"/>
      <name val="Calibri"/>
      <family val="2"/>
      <scheme val="minor"/>
    </font>
    <font>
      <b/>
      <sz val="14"/>
      <color theme="1"/>
      <name val="Calibri"/>
      <family val="2"/>
    </font>
    <font>
      <sz val="12"/>
      <color theme="0" tint="-0.34998626667073579"/>
      <name val="Segoe UI"/>
      <family val="2"/>
    </font>
    <font>
      <b/>
      <sz val="8"/>
      <color theme="1"/>
      <name val="Tahoma"/>
      <family val="2"/>
    </font>
    <font>
      <sz val="11"/>
      <name val="Calibri"/>
      <family val="2"/>
      <scheme val="minor"/>
    </font>
    <font>
      <b/>
      <sz val="10"/>
      <name val="Arial"/>
      <family val="2"/>
    </font>
    <font>
      <sz val="8"/>
      <name val="Arial"/>
      <family val="2"/>
    </font>
    <font>
      <sz val="12"/>
      <color theme="0"/>
      <name val="Segoe UI"/>
      <family val="2"/>
    </font>
    <font>
      <b/>
      <sz val="18"/>
      <name val="Segoe UI"/>
      <family val="2"/>
    </font>
    <font>
      <b/>
      <sz val="18"/>
      <color theme="1"/>
      <name val="Segoe UI"/>
      <family val="2"/>
    </font>
    <font>
      <sz val="11"/>
      <name val="Segoe UI"/>
      <family val="2"/>
    </font>
    <font>
      <sz val="11"/>
      <color theme="3"/>
      <name val="Segoe UI"/>
      <family val="2"/>
    </font>
    <font>
      <sz val="10"/>
      <name val="Segoe UI"/>
      <family val="2"/>
    </font>
    <font>
      <sz val="11"/>
      <color theme="0"/>
      <name val="Segoe UI"/>
      <family val="2"/>
    </font>
    <font>
      <sz val="16"/>
      <color theme="3"/>
      <name val="Segoe UI"/>
      <family val="2"/>
    </font>
    <font>
      <sz val="18"/>
      <color theme="0"/>
      <name val="Segoe UI"/>
      <family val="2"/>
    </font>
    <font>
      <sz val="12"/>
      <name val="Arial"/>
      <family val="2"/>
    </font>
    <font>
      <b/>
      <sz val="18"/>
      <color theme="0"/>
      <name val="Calibri"/>
      <family val="2"/>
      <scheme val="minor"/>
    </font>
    <font>
      <sz val="11"/>
      <name val="Segoe UI"/>
    </font>
    <font>
      <sz val="12"/>
      <name val="Segoe UI"/>
    </font>
  </fonts>
  <fills count="1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indexed="22"/>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3"/>
        <bgColor indexed="64"/>
      </patternFill>
    </fill>
    <fill>
      <patternFill patternType="solid">
        <fgColor theme="4"/>
        <bgColor indexed="64"/>
      </patternFill>
    </fill>
    <fill>
      <patternFill patternType="solid">
        <fgColor theme="3" tint="0.79998168889431442"/>
        <bgColor indexed="64"/>
      </patternFill>
    </fill>
  </fills>
  <borders count="11">
    <border>
      <left/>
      <right/>
      <top/>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s>
  <cellStyleXfs count="22">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167" fontId="3" fillId="0" borderId="0" applyFont="0" applyFill="0" applyBorder="0" applyAlignment="0" applyProtection="0"/>
    <xf numFmtId="165"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0" fontId="6" fillId="10" borderId="0" applyNumberFormat="0"/>
    <xf numFmtId="0" fontId="7" fillId="0" borderId="0" applyNumberFormat="0" applyAlignment="0"/>
    <xf numFmtId="0" fontId="8" fillId="10" borderId="0" applyNumberFormat="0"/>
    <xf numFmtId="170" fontId="4" fillId="10" borderId="0"/>
    <xf numFmtId="0" fontId="9" fillId="0" borderId="0" applyNumberFormat="0"/>
    <xf numFmtId="0" fontId="10" fillId="0" borderId="0" applyNumberFormat="0"/>
    <xf numFmtId="0" fontId="11" fillId="0" borderId="0" applyNumberFormat="0" applyFill="0" applyBorder="0" applyAlignment="0" applyProtection="0">
      <alignment horizontal="right"/>
    </xf>
    <xf numFmtId="0" fontId="9" fillId="0" borderId="0" applyNumberFormat="0"/>
    <xf numFmtId="0" fontId="26" fillId="14" borderId="0" applyNumberFormat="0"/>
  </cellStyleXfs>
  <cellXfs count="58">
    <xf numFmtId="0" fontId="0" fillId="0" borderId="0" xfId="0"/>
    <xf numFmtId="0" fontId="1" fillId="9" borderId="1" xfId="0" applyFont="1" applyFill="1" applyBorder="1" applyAlignment="1">
      <alignment horizontal="center" wrapText="1"/>
    </xf>
    <xf numFmtId="0" fontId="2" fillId="0" borderId="0" xfId="0" applyFont="1" applyAlignment="1">
      <alignment horizontal="left"/>
    </xf>
    <xf numFmtId="168" fontId="2" fillId="0" borderId="0" xfId="0" applyNumberFormat="1" applyFont="1" applyAlignment="1">
      <alignment horizontal="right"/>
    </xf>
    <xf numFmtId="0" fontId="12" fillId="0" borderId="0" xfId="0" applyFont="1"/>
    <xf numFmtId="169" fontId="2" fillId="0" borderId="0" xfId="0" applyNumberFormat="1" applyFont="1" applyAlignment="1">
      <alignment horizontal="left"/>
    </xf>
    <xf numFmtId="0" fontId="13" fillId="0" borderId="0" xfId="0" applyFont="1"/>
    <xf numFmtId="0" fontId="14" fillId="0" borderId="0" xfId="0" applyFont="1"/>
    <xf numFmtId="0" fontId="14" fillId="0" borderId="0" xfId="0" applyFont="1" applyAlignment="1">
      <alignment wrapText="1"/>
    </xf>
    <xf numFmtId="0" fontId="0" fillId="0" borderId="0" xfId="0" applyAlignment="1">
      <alignment wrapText="1"/>
    </xf>
    <xf numFmtId="0" fontId="16" fillId="11" borderId="0" xfId="19" applyFont="1" applyFill="1" applyAlignment="1"/>
    <xf numFmtId="0" fontId="16" fillId="11" borderId="0" xfId="19" applyFont="1" applyFill="1" applyAlignment="1">
      <alignment horizontal="center"/>
    </xf>
    <xf numFmtId="0" fontId="17" fillId="10" borderId="0" xfId="13" applyFont="1"/>
    <xf numFmtId="0" fontId="18" fillId="10" borderId="0" xfId="13" applyFont="1"/>
    <xf numFmtId="0" fontId="19" fillId="0" borderId="0" xfId="0" applyFont="1"/>
    <xf numFmtId="0" fontId="19" fillId="0" borderId="0" xfId="14" applyFont="1"/>
    <xf numFmtId="0" fontId="21" fillId="0" borderId="0" xfId="0" applyFont="1"/>
    <xf numFmtId="171" fontId="18" fillId="10" borderId="0" xfId="13" applyNumberFormat="1" applyFont="1" applyAlignment="1">
      <alignment horizontal="center"/>
    </xf>
    <xf numFmtId="171" fontId="19" fillId="0" borderId="0" xfId="0" applyNumberFormat="1" applyFont="1" applyAlignment="1">
      <alignment horizontal="center"/>
    </xf>
    <xf numFmtId="171" fontId="20" fillId="0" borderId="0" xfId="14" applyNumberFormat="1" applyFont="1" applyAlignment="1">
      <alignment horizontal="center"/>
    </xf>
    <xf numFmtId="171" fontId="19" fillId="0" borderId="0" xfId="14" applyNumberFormat="1" applyFont="1" applyAlignment="1">
      <alignment horizontal="center"/>
    </xf>
    <xf numFmtId="171" fontId="21" fillId="0" borderId="0" xfId="0" applyNumberFormat="1" applyFont="1" applyAlignment="1">
      <alignment horizontal="center"/>
    </xf>
    <xf numFmtId="10" fontId="18" fillId="10" borderId="0" xfId="13" applyNumberFormat="1" applyFont="1" applyAlignment="1">
      <alignment horizontal="center"/>
    </xf>
    <xf numFmtId="10" fontId="19" fillId="0" borderId="0" xfId="0" applyNumberFormat="1" applyFont="1" applyAlignment="1">
      <alignment horizontal="center"/>
    </xf>
    <xf numFmtId="10" fontId="16" fillId="11" borderId="0" xfId="19" applyNumberFormat="1" applyFont="1" applyFill="1" applyAlignment="1">
      <alignment horizontal="center"/>
    </xf>
    <xf numFmtId="10" fontId="19" fillId="0" borderId="0" xfId="14" applyNumberFormat="1" applyFont="1" applyAlignment="1">
      <alignment horizontal="center"/>
    </xf>
    <xf numFmtId="10" fontId="21" fillId="0" borderId="0" xfId="0" applyNumberFormat="1" applyFont="1" applyAlignment="1">
      <alignment horizontal="center"/>
    </xf>
    <xf numFmtId="0" fontId="19" fillId="12" borderId="2" xfId="20" applyFont="1" applyFill="1" applyBorder="1" applyAlignment="1">
      <alignment horizontal="center" vertical="center"/>
    </xf>
    <xf numFmtId="1" fontId="19" fillId="12" borderId="2" xfId="20" applyNumberFormat="1" applyFont="1" applyFill="1" applyBorder="1" applyAlignment="1">
      <alignment horizontal="center" vertical="center"/>
    </xf>
    <xf numFmtId="170" fontId="19" fillId="12" borderId="2" xfId="20" applyNumberFormat="1" applyFont="1" applyFill="1" applyBorder="1" applyAlignment="1">
      <alignment horizontal="center" vertical="center"/>
    </xf>
    <xf numFmtId="0" fontId="23" fillId="0" borderId="0" xfId="0" applyFont="1"/>
    <xf numFmtId="0" fontId="24" fillId="11" borderId="0" xfId="13" applyFont="1" applyFill="1" applyAlignment="1">
      <alignment vertical="top"/>
    </xf>
    <xf numFmtId="0" fontId="24" fillId="11" borderId="0" xfId="13" applyFont="1" applyFill="1"/>
    <xf numFmtId="170" fontId="16" fillId="11" borderId="0" xfId="14" applyNumberFormat="1" applyFont="1" applyFill="1" applyAlignment="1">
      <alignment horizontal="center"/>
    </xf>
    <xf numFmtId="2" fontId="24" fillId="11" borderId="0" xfId="13" applyNumberFormat="1" applyFont="1" applyFill="1" applyAlignment="1">
      <alignment horizontal="center"/>
    </xf>
    <xf numFmtId="10" fontId="24" fillId="11" borderId="0" xfId="13" applyNumberFormat="1" applyFont="1" applyFill="1" applyAlignment="1">
      <alignment horizontal="center"/>
    </xf>
    <xf numFmtId="0" fontId="25" fillId="0" borderId="0" xfId="0" applyFont="1"/>
    <xf numFmtId="10" fontId="19" fillId="0" borderId="0" xfId="0" applyNumberFormat="1" applyFont="1"/>
    <xf numFmtId="0" fontId="22" fillId="13" borderId="0" xfId="20" applyFont="1" applyFill="1" applyAlignment="1">
      <alignment horizontal="center" vertical="center"/>
    </xf>
    <xf numFmtId="170" fontId="19" fillId="12" borderId="0" xfId="20" applyNumberFormat="1" applyFont="1" applyFill="1" applyAlignment="1">
      <alignment horizontal="center" vertical="center"/>
    </xf>
    <xf numFmtId="1" fontId="19" fillId="12" borderId="0" xfId="20" applyNumberFormat="1" applyFont="1" applyFill="1" applyAlignment="1">
      <alignment horizontal="center" vertical="center"/>
    </xf>
    <xf numFmtId="0" fontId="22" fillId="0" borderId="0" xfId="0" applyFont="1"/>
    <xf numFmtId="0" fontId="27" fillId="0" borderId="0" xfId="0" applyFont="1"/>
    <xf numFmtId="171" fontId="27" fillId="0" borderId="0" xfId="0" applyNumberFormat="1" applyFont="1" applyAlignment="1">
      <alignment horizontal="center"/>
    </xf>
    <xf numFmtId="0" fontId="28" fillId="0" borderId="0" xfId="0" pivotButton="1" applyFont="1"/>
    <xf numFmtId="0" fontId="28" fillId="0" borderId="0" xfId="0" applyFont="1" applyAlignment="1">
      <alignment horizontal="center"/>
    </xf>
    <xf numFmtId="0" fontId="5" fillId="0" borderId="0" xfId="0" applyFont="1"/>
    <xf numFmtId="172" fontId="27" fillId="0" borderId="0" xfId="0" applyNumberFormat="1" applyFont="1" applyAlignment="1">
      <alignment horizontal="center"/>
    </xf>
    <xf numFmtId="0" fontId="22" fillId="13" borderId="2" xfId="20" applyFont="1" applyFill="1" applyBorder="1" applyAlignment="1">
      <alignment horizontal="center" vertical="center"/>
    </xf>
    <xf numFmtId="171" fontId="19" fillId="15" borderId="3" xfId="0" applyNumberFormat="1" applyFont="1" applyFill="1" applyBorder="1" applyAlignment="1">
      <alignment horizontal="center"/>
    </xf>
    <xf numFmtId="171" fontId="19" fillId="15" borderId="6" xfId="0" applyNumberFormat="1" applyFont="1" applyFill="1" applyBorder="1" applyAlignment="1">
      <alignment horizontal="center"/>
    </xf>
    <xf numFmtId="171" fontId="19" fillId="15" borderId="8" xfId="0" applyNumberFormat="1" applyFont="1" applyFill="1" applyBorder="1" applyAlignment="1">
      <alignment horizontal="center"/>
    </xf>
    <xf numFmtId="10" fontId="19" fillId="15" borderId="4" xfId="0" applyNumberFormat="1" applyFont="1" applyFill="1" applyBorder="1" applyAlignment="1">
      <alignment horizontal="left" vertical="top" wrapText="1"/>
    </xf>
    <xf numFmtId="10" fontId="19" fillId="15" borderId="0" xfId="0" applyNumberFormat="1" applyFont="1" applyFill="1" applyAlignment="1">
      <alignment horizontal="left" vertical="top" wrapText="1"/>
    </xf>
    <xf numFmtId="10" fontId="19" fillId="15" borderId="9" xfId="0" applyNumberFormat="1" applyFont="1" applyFill="1" applyBorder="1" applyAlignment="1">
      <alignment horizontal="left" vertical="top" wrapText="1"/>
    </xf>
    <xf numFmtId="0" fontId="19" fillId="15" borderId="5" xfId="0" applyFont="1" applyFill="1" applyBorder="1" applyAlignment="1">
      <alignment horizontal="center"/>
    </xf>
    <xf numFmtId="0" fontId="19" fillId="15" borderId="7" xfId="0" applyFont="1" applyFill="1" applyBorder="1" applyAlignment="1">
      <alignment horizontal="center"/>
    </xf>
    <xf numFmtId="0" fontId="19" fillId="15" borderId="10" xfId="0" applyFont="1" applyFill="1" applyBorder="1" applyAlignment="1">
      <alignment horizontal="center"/>
    </xf>
  </cellXfs>
  <cellStyles count="22">
    <cellStyle name="20% - Accent1" xfId="1" builtinId="30" customBuiltin="1"/>
    <cellStyle name="20% - Accent2" xfId="2" builtinId="34" customBuiltin="1"/>
    <cellStyle name="20% - Accent3" xfId="3" builtinId="38" customBuiltin="1"/>
    <cellStyle name="20% - Accent4" xfId="4" builtinId="42" customBuiltin="1"/>
    <cellStyle name="40% - Accent3" xfId="5" builtinId="39" customBuiltin="1"/>
    <cellStyle name="60% - Accent3" xfId="6" builtinId="40" customBuiltin="1"/>
    <cellStyle name="60% - Accent4" xfId="7" builtinId="44" customBuiltin="1"/>
    <cellStyle name="60% - Accent6" xfId="8" builtinId="52" customBuiltin="1"/>
    <cellStyle name="Comma" xfId="9" builtinId="3" customBuiltin="1"/>
    <cellStyle name="Comma [0]" xfId="10" builtinId="6" customBuiltin="1"/>
    <cellStyle name="Currency" xfId="11" builtinId="4" customBuiltin="1"/>
    <cellStyle name="Currency [0]" xfId="12" builtinId="7" customBuiltin="1"/>
    <cellStyle name="Geotab Heading" xfId="21" xr:uid="{00000000-0005-0000-0000-00000C000000}"/>
    <cellStyle name="Geotab Report Field Name" xfId="20" xr:uid="{00000000-0005-0000-0000-00000D000000}"/>
    <cellStyle name="Heading" xfId="13" xr:uid="{00000000-0005-0000-0000-00000E000000}"/>
    <cellStyle name="Normal" xfId="0" builtinId="0" customBuiltin="1"/>
    <cellStyle name="Report Body" xfId="14" xr:uid="{00000000-0005-0000-0000-000010000000}"/>
    <cellStyle name="Report Column Header" xfId="15" xr:uid="{00000000-0005-0000-0000-000011000000}"/>
    <cellStyle name="Report Creation DateTime" xfId="16" xr:uid="{00000000-0005-0000-0000-000012000000}"/>
    <cellStyle name="Report Field Name" xfId="17" xr:uid="{00000000-0005-0000-0000-000013000000}"/>
    <cellStyle name="Report Name" xfId="18" xr:uid="{00000000-0005-0000-0000-000014000000}"/>
    <cellStyle name="StandardReportHeading" xfId="19" xr:uid="{00000000-0005-0000-0000-000015000000}"/>
  </cellStyles>
  <dxfs count="47">
    <dxf>
      <font>
        <name val="Calibri"/>
        <scheme val="minor"/>
      </font>
    </dxf>
    <dxf>
      <font>
        <sz val="11"/>
      </font>
    </dxf>
    <dxf>
      <font>
        <name val="Segoe UI"/>
        <scheme val="none"/>
      </font>
    </dxf>
    <dxf>
      <font>
        <name val="Segoe UI"/>
        <scheme val="none"/>
      </font>
    </dxf>
    <dxf>
      <font>
        <name val="Segoe UI"/>
        <scheme val="none"/>
      </font>
    </dxf>
    <dxf>
      <numFmt numFmtId="171" formatCode="[$-409][h]:mm:ss"/>
    </dxf>
    <dxf>
      <numFmt numFmtId="172" formatCode="[$-409]0.00%"/>
    </dxf>
    <dxf>
      <alignment horizontal="center"/>
    </dxf>
    <dxf>
      <font>
        <sz val="12"/>
      </font>
    </dxf>
    <dxf>
      <font>
        <sz val="12"/>
      </font>
    </dxf>
    <dxf>
      <font>
        <name val="Calibri"/>
        <scheme val="minor"/>
      </font>
    </dxf>
    <dxf>
      <font>
        <sz val="11"/>
      </font>
    </dxf>
    <dxf>
      <font>
        <name val="Segoe UI"/>
        <scheme val="none"/>
      </font>
    </dxf>
    <dxf>
      <font>
        <name val="Segoe UI"/>
        <scheme val="none"/>
      </font>
    </dxf>
    <dxf>
      <font>
        <name val="Segoe UI"/>
        <scheme val="none"/>
      </font>
    </dxf>
    <dxf>
      <alignment horizontal="center"/>
    </dxf>
    <dxf>
      <numFmt numFmtId="171" formatCode="[$-409][h]:mm:ss"/>
    </dxf>
    <dxf>
      <numFmt numFmtId="172" formatCode="[$-409]0.00%"/>
    </dxf>
    <dxf>
      <font>
        <sz val="12"/>
      </font>
    </dxf>
    <dxf>
      <font>
        <sz val="12"/>
      </font>
    </dxf>
    <dxf>
      <font>
        <sz val="12"/>
      </font>
    </dxf>
    <dxf>
      <font>
        <sz val="12"/>
      </font>
    </dxf>
    <dxf>
      <alignment horizontal="center"/>
    </dxf>
    <dxf>
      <numFmt numFmtId="172" formatCode="[$-409]0.00%"/>
    </dxf>
    <dxf>
      <numFmt numFmtId="171" formatCode="[$-409][h]:mm:ss"/>
    </dxf>
    <dxf>
      <font>
        <name val="Segoe UI"/>
        <scheme val="none"/>
      </font>
    </dxf>
    <dxf>
      <font>
        <name val="Segoe UI"/>
        <scheme val="none"/>
      </font>
    </dxf>
    <dxf>
      <font>
        <name val="Segoe UI"/>
        <scheme val="none"/>
      </font>
    </dxf>
    <dxf>
      <font>
        <sz val="11"/>
      </font>
    </dxf>
    <dxf>
      <font>
        <name val="Calibri"/>
        <scheme val="minor"/>
      </font>
    </dxf>
    <dxf>
      <font>
        <sz val="12"/>
      </font>
    </dxf>
    <dxf>
      <font>
        <sz val="12"/>
      </font>
    </dxf>
    <dxf>
      <numFmt numFmtId="172" formatCode="[$-409]0.00%"/>
    </dxf>
    <dxf>
      <numFmt numFmtId="171" formatCode="[$-409][h]:mm:ss"/>
    </dxf>
    <dxf>
      <alignment horizontal="center"/>
    </dxf>
    <dxf>
      <font>
        <name val="Segoe UI"/>
        <scheme val="none"/>
      </font>
    </dxf>
    <dxf>
      <font>
        <name val="Segoe UI"/>
        <scheme val="none"/>
      </font>
    </dxf>
    <dxf>
      <font>
        <name val="Segoe UI"/>
        <scheme val="none"/>
      </font>
    </dxf>
    <dxf>
      <font>
        <sz val="11"/>
      </font>
    </dxf>
    <dxf>
      <font>
        <name val="Calibri"/>
        <scheme val="minor"/>
      </font>
    </dxf>
    <dxf>
      <fill>
        <patternFill>
          <bgColor theme="0" tint="-4.9989318521683403E-2"/>
        </patternFill>
      </fill>
      <border>
        <bottom style="thin">
          <color auto="1"/>
        </bottom>
      </border>
    </dxf>
    <dxf>
      <fill>
        <patternFill>
          <bgColor theme="0" tint="-4.9989318521683403E-2"/>
        </patternFill>
      </fill>
      <border diagonalDown="1">
        <bottom style="thin">
          <color theme="1"/>
        </bottom>
        <diagonal style="thin">
          <color theme="1"/>
        </diagonal>
      </border>
    </dxf>
    <dxf>
      <fill>
        <patternFill>
          <fgColor theme="8"/>
          <bgColor theme="2" tint="0.79998168889431442"/>
        </patternFill>
      </fill>
    </dxf>
    <dxf>
      <fill>
        <patternFill>
          <bgColor theme="0" tint="-4.9989318521683403E-2"/>
        </patternFill>
      </fill>
    </dxf>
    <dxf>
      <font>
        <b/>
        <i val="0"/>
        <color theme="1"/>
      </font>
      <fill>
        <patternFill patternType="solid">
          <fgColor theme="5" tint="0.79985961485641044"/>
          <bgColor theme="0" tint="-4.9989318521683403E-2"/>
        </patternFill>
      </fill>
      <border>
        <top style="thin">
          <color theme="2" tint="0.59996337778862885"/>
        </top>
        <bottom style="thin">
          <color theme="2" tint="0.59996337778862885"/>
        </bottom>
      </border>
    </dxf>
    <dxf>
      <font>
        <b/>
        <i val="0"/>
        <color theme="0"/>
      </font>
      <fill>
        <patternFill patternType="solid">
          <fgColor theme="5" tint="0.79985961485641044"/>
          <bgColor theme="2"/>
        </patternFill>
      </fill>
      <border>
        <bottom style="thin">
          <color theme="4"/>
        </bottom>
      </border>
    </dxf>
    <dxf>
      <font>
        <color auto="1"/>
      </font>
    </dxf>
  </dxfs>
  <tableStyles count="1" defaultTableStyle="TableStyleMedium9" defaultPivotStyle="PivotStyleLight16">
    <tableStyle name="PivotStyleLightCustom" table="0" count="7" xr9:uid="{00000000-0011-0000-FFFF-FFFF00000000}">
      <tableStyleElement type="wholeTable" dxfId="46"/>
      <tableStyleElement type="headerRow" dxfId="45"/>
      <tableStyleElement type="totalRow" dxfId="44"/>
      <tableStyleElement type="firstRowStripe" dxfId="43"/>
      <tableStyleElement type="secondRowStripe" dxfId="42"/>
      <tableStyleElement type="pageFieldLabels" dxfId="41"/>
      <tableStyleElement type="pageFieldValues"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[Idling Violations_20260221_230100.xlsx]Graph!Riskmangement Summary</c:name>
    <c:fmtId val="1"/>
  </c:pivotSource>
  <c:chart>
    <c:autoTitleDeleted val="1"/>
    <c:pivotFmts>
      <c:pivotFmt>
        <c:idx val="0"/>
        <c:spPr>
          <a:solidFill>
            <a:schemeClr val="accent4">
              <a:lumMod val="40000"/>
              <a:lumOff val="60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4">
                <a:lumMod val="75000"/>
              </a:schemeClr>
            </a:solidFill>
            <a:round/>
          </a:ln>
          <a:effectLst/>
        </c:spPr>
        <c:marker>
          <c:symbol val="circle"/>
          <c:size val="6"/>
          <c:spPr>
            <a:solidFill>
              <a:schemeClr val="accent4">
                <a:lumMod val="60000"/>
                <a:lumOff val="40000"/>
              </a:schemeClr>
            </a:solidFill>
            <a:ln w="15875">
              <a:solidFill>
                <a:schemeClr val="accent4">
                  <a:lumMod val="75000"/>
                </a:schemeClr>
              </a:solidFill>
              <a:round/>
            </a:ln>
            <a:effectLst/>
          </c:spPr>
        </c:marker>
      </c:pivotFmt>
      <c:pivotFmt>
        <c:idx val="2"/>
        <c:spPr>
          <a:solidFill>
            <a:schemeClr val="accent4">
              <a:lumMod val="40000"/>
              <a:lumOff val="60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4">
                <a:lumMod val="75000"/>
              </a:schemeClr>
            </a:solidFill>
            <a:round/>
          </a:ln>
          <a:effectLst/>
        </c:spPr>
        <c:marker>
          <c:symbol val="circle"/>
          <c:size val="6"/>
          <c:spPr>
            <a:solidFill>
              <a:schemeClr val="accent4">
                <a:lumMod val="60000"/>
                <a:lumOff val="40000"/>
              </a:schemeClr>
            </a:solidFill>
            <a:ln w="15875">
              <a:solidFill>
                <a:schemeClr val="accent4">
                  <a:lumMod val="75000"/>
                </a:schemeClr>
              </a:solidFill>
              <a:round/>
            </a:ln>
            <a:effectLst/>
          </c:spPr>
        </c:marker>
      </c:pivotFmt>
      <c:pivotFmt>
        <c:idx val="4"/>
        <c:spPr>
          <a:solidFill>
            <a:schemeClr val="accent4">
              <a:lumMod val="40000"/>
              <a:lumOff val="60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4">
                <a:lumMod val="75000"/>
              </a:schemeClr>
            </a:solidFill>
            <a:round/>
          </a:ln>
          <a:effectLst/>
        </c:spPr>
        <c:marker>
          <c:symbol val="circle"/>
          <c:size val="6"/>
          <c:spPr>
            <a:solidFill>
              <a:schemeClr val="accent4">
                <a:lumMod val="60000"/>
                <a:lumOff val="40000"/>
              </a:schemeClr>
            </a:solidFill>
            <a:ln w="19050">
              <a:solidFill>
                <a:schemeClr val="accent4">
                  <a:lumMod val="75000"/>
                </a:schemeClr>
              </a:solidFill>
              <a:round/>
            </a:ln>
            <a:effectLst/>
          </c:spPr>
        </c:marker>
      </c:pivotFmt>
      <c:pivotFmt>
        <c:idx val="6"/>
        <c:spPr>
          <a:solidFill>
            <a:schemeClr val="accent4">
              <a:lumMod val="40000"/>
              <a:lumOff val="60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4">
                <a:lumMod val="75000"/>
              </a:schemeClr>
            </a:solidFill>
            <a:round/>
          </a:ln>
          <a:effectLst/>
        </c:spPr>
        <c:marker>
          <c:symbol val="circle"/>
          <c:size val="6"/>
          <c:spPr>
            <a:solidFill>
              <a:schemeClr val="accent4">
                <a:lumMod val="60000"/>
                <a:lumOff val="40000"/>
              </a:schemeClr>
            </a:solidFill>
            <a:ln w="19050">
              <a:solidFill>
                <a:schemeClr val="accent4">
                  <a:lumMod val="75000"/>
                </a:schemeClr>
              </a:solidFill>
              <a:round/>
            </a:ln>
            <a:effectLst/>
          </c:spPr>
        </c:marker>
      </c:pivotFmt>
      <c:pivotFmt>
        <c:idx val="8"/>
        <c:spPr>
          <a:solidFill>
            <a:schemeClr val="accent4">
              <a:lumMod val="40000"/>
              <a:lumOff val="60000"/>
            </a:schemeClr>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4">
                <a:lumMod val="75000"/>
              </a:schemeClr>
            </a:solidFill>
            <a:round/>
          </a:ln>
          <a:effectLst/>
        </c:spPr>
        <c:marker>
          <c:symbol val="circle"/>
          <c:size val="6"/>
          <c:spPr>
            <a:solidFill>
              <a:schemeClr val="accent4">
                <a:lumMod val="60000"/>
                <a:lumOff val="40000"/>
              </a:schemeClr>
            </a:solidFill>
            <a:ln w="19050">
              <a:solidFill>
                <a:schemeClr val="accent4">
                  <a:lumMod val="75000"/>
                </a:schemeClr>
              </a:solidFill>
              <a:round/>
            </a:ln>
            <a:effectLst/>
          </c:spPr>
        </c:marker>
      </c:pivotFmt>
      <c:pivotFmt>
        <c:idx val="10"/>
        <c:spPr>
          <a:solidFill>
            <a:schemeClr val="accent2">
              <a:lumMod val="40000"/>
              <a:lumOff val="60000"/>
            </a:schemeClr>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pivotFmt>
      <c:pivotFmt>
        <c:idx val="12"/>
        <c:spPr>
          <a:solidFill>
            <a:schemeClr val="accent2">
              <a:lumMod val="40000"/>
              <a:lumOff val="60000"/>
            </a:schemeClr>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pivotFmt>
      <c:pivotFmt>
        <c:idx val="14"/>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40000"/>
              <a:lumOff val="60000"/>
            </a:schemeClr>
          </a:solidFill>
          <a:ln>
            <a:solidFill>
              <a:schemeClr val="accent2"/>
            </a:solidFill>
          </a:ln>
          <a:effectLst/>
        </c:spPr>
      </c:pivotFmt>
      <c:pivotFmt>
        <c:idx val="17"/>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lumMod val="40000"/>
              <a:lumOff val="60000"/>
            </a:schemeClr>
          </a:solidFill>
          <a:ln>
            <a:solidFill>
              <a:schemeClr val="accent2"/>
            </a:solidFill>
          </a:ln>
          <a:effectLst/>
        </c:spPr>
        <c:marker>
          <c:symbol val="none"/>
        </c:marker>
        <c:dLbl>
          <c:idx val="0"/>
          <c:numFmt formatCode="[h]:m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lumMod val="40000"/>
              <a:lumOff val="60000"/>
            </a:schemeClr>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Summary!$U$4</c:f>
              <c:strCache>
                <c:ptCount val="1"/>
                <c:pt idx="0">
                  <c:v>Idling Duration</c:v>
                </c:pt>
              </c:strCache>
            </c:strRef>
          </c:tx>
          <c:spPr>
            <a:solidFill>
              <a:schemeClr val="accent2">
                <a:lumMod val="40000"/>
                <a:lumOff val="60000"/>
              </a:schemeClr>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Summary!$U$4</c:f>
              <c:strCache>
                <c:ptCount val="15"/>
                <c:pt idx="0">
                  <c:v>Demo - 31 </c:v>
                </c:pt>
                <c:pt idx="1">
                  <c:v>Demo - 15 </c:v>
                </c:pt>
                <c:pt idx="2">
                  <c:v>Demo - 32 </c:v>
                </c:pt>
                <c:pt idx="3">
                  <c:v>Demo - 33 </c:v>
                </c:pt>
                <c:pt idx="4">
                  <c:v>Demo - 18 </c:v>
                </c:pt>
                <c:pt idx="5">
                  <c:v>Demo - 34 </c:v>
                </c:pt>
                <c:pt idx="6">
                  <c:v>Demo - 17 </c:v>
                </c:pt>
                <c:pt idx="7">
                  <c:v>Demo - 27 </c:v>
                </c:pt>
                <c:pt idx="8">
                  <c:v>Demo - 24 </c:v>
                </c:pt>
                <c:pt idx="9">
                  <c:v>Demo - 28 </c:v>
                </c:pt>
                <c:pt idx="10">
                  <c:v>Demo - 16 </c:v>
                </c:pt>
                <c:pt idx="11">
                  <c:v>Demo - 29 </c:v>
                </c:pt>
                <c:pt idx="12">
                  <c:v>Demo - 45 </c:v>
                </c:pt>
                <c:pt idx="13">
                  <c:v>Demo - 44 </c:v>
                </c:pt>
                <c:pt idx="14">
                  <c:v>Demo - 01 </c:v>
                </c:pt>
              </c:strCache>
            </c:strRef>
          </c:cat>
          <c:val>
            <c:numRef>
              <c:f>Summary!$U$4</c:f>
              <c:numCache>
                <c:formatCode>[$-409][h]:mm:ss</c:formatCode>
                <c:ptCount val="15"/>
                <c:pt idx="0">
                  <c:v>0.33390046296296294</c:v>
                </c:pt>
                <c:pt idx="1">
                  <c:v>0.31540509259259258</c:v>
                </c:pt>
                <c:pt idx="2">
                  <c:v>0.27041666666666669</c:v>
                </c:pt>
                <c:pt idx="3">
                  <c:v>0.25844907407407408</c:v>
                </c:pt>
                <c:pt idx="4">
                  <c:v>0.2439699074074074</c:v>
                </c:pt>
                <c:pt idx="5">
                  <c:v>0.23974537037037036</c:v>
                </c:pt>
                <c:pt idx="6">
                  <c:v>0.18899305555555557</c:v>
                </c:pt>
                <c:pt idx="7">
                  <c:v>0.17064814814814816</c:v>
                </c:pt>
                <c:pt idx="8">
                  <c:v>0.16199074074074074</c:v>
                </c:pt>
                <c:pt idx="9">
                  <c:v>0.15645833333333334</c:v>
                </c:pt>
                <c:pt idx="10">
                  <c:v>0.1560300925925926</c:v>
                </c:pt>
                <c:pt idx="11">
                  <c:v>0.15285879629629628</c:v>
                </c:pt>
                <c:pt idx="12">
                  <c:v>0.14951388888888889</c:v>
                </c:pt>
                <c:pt idx="13">
                  <c:v>0.13878472222222221</c:v>
                </c:pt>
                <c:pt idx="14">
                  <c:v>0.13670138888888889</c:v>
                </c:pt>
              </c:numCache>
            </c:numRef>
          </c:val>
          <c:extLst>
            <c:ext xmlns:c16="http://schemas.microsoft.com/office/drawing/2014/chart" uri="{C3380CC4-5D6E-409C-BE32-E72D297353CC}">
              <c16:uniqueId val="{00000002-E5FB-4E04-AFCD-A0B51E8068FD}"/>
            </c:ext>
          </c:extLst>
        </c:ser>
        <c:dLbls>
          <c:showLegendKey val="0"/>
          <c:showVal val="1"/>
          <c:showCatName val="0"/>
          <c:showSerName val="0"/>
          <c:showPercent val="0"/>
          <c:showBubbleSize val="0"/>
        </c:dLbls>
        <c:gapWidth val="10"/>
        <c:axId val="1855280368"/>
        <c:axId val="1855271120"/>
      </c:barChart>
      <c:lineChart>
        <c:grouping val="standard"/>
        <c:varyColors val="0"/>
        <c:ser>
          <c:idx val="1"/>
          <c:order val="1"/>
          <c:tx>
            <c:strRef>
              <c:f>Summary!$U$4</c:f>
              <c:strCache>
                <c:ptCount val="1"/>
                <c:pt idx="0">
                  <c:v>Idling %</c:v>
                </c:pt>
              </c:strCache>
            </c:strRef>
          </c:tx>
          <c:spPr>
            <a:ln w="19050" cap="rnd">
              <a:solidFill>
                <a:schemeClr val="accent2">
                  <a:lumMod val="75000"/>
                </a:schemeClr>
              </a:solidFill>
              <a:round/>
            </a:ln>
            <a:effectLst/>
          </c:spPr>
          <c:marker>
            <c:symbol val="circle"/>
            <c:size val="6"/>
            <c:spPr>
              <a:solidFill>
                <a:schemeClr val="accent2">
                  <a:lumMod val="60000"/>
                  <a:lumOff val="40000"/>
                </a:schemeClr>
              </a:solidFill>
              <a:ln w="19050">
                <a:solidFill>
                  <a:schemeClr val="accent2">
                    <a:lumMod val="7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Summary!$U$4</c:f>
              <c:strCache>
                <c:ptCount val="15"/>
                <c:pt idx="0">
                  <c:v>Demo - 31 </c:v>
                </c:pt>
                <c:pt idx="1">
                  <c:v>Demo - 15 </c:v>
                </c:pt>
                <c:pt idx="2">
                  <c:v>Demo - 32 </c:v>
                </c:pt>
                <c:pt idx="3">
                  <c:v>Demo - 33 </c:v>
                </c:pt>
                <c:pt idx="4">
                  <c:v>Demo - 18 </c:v>
                </c:pt>
                <c:pt idx="5">
                  <c:v>Demo - 34 </c:v>
                </c:pt>
                <c:pt idx="6">
                  <c:v>Demo - 17 </c:v>
                </c:pt>
                <c:pt idx="7">
                  <c:v>Demo - 27 </c:v>
                </c:pt>
                <c:pt idx="8">
                  <c:v>Demo - 24 </c:v>
                </c:pt>
                <c:pt idx="9">
                  <c:v>Demo - 28 </c:v>
                </c:pt>
                <c:pt idx="10">
                  <c:v>Demo - 16 </c:v>
                </c:pt>
                <c:pt idx="11">
                  <c:v>Demo - 29 </c:v>
                </c:pt>
                <c:pt idx="12">
                  <c:v>Demo - 45 </c:v>
                </c:pt>
                <c:pt idx="13">
                  <c:v>Demo - 44 </c:v>
                </c:pt>
                <c:pt idx="14">
                  <c:v>Demo - 01 </c:v>
                </c:pt>
              </c:strCache>
            </c:strRef>
          </c:cat>
          <c:val>
            <c:numRef>
              <c:f>Summary!$U$4</c:f>
              <c:numCache>
                <c:formatCode>[$-409]0.00%</c:formatCode>
                <c:ptCount val="15"/>
                <c:pt idx="0">
                  <c:v>0.13390797395086312</c:v>
                </c:pt>
                <c:pt idx="1">
                  <c:v>0.11854961499978249</c:v>
                </c:pt>
                <c:pt idx="2">
                  <c:v>0.14084795727057348</c:v>
                </c:pt>
                <c:pt idx="3">
                  <c:v>0.15524409405025097</c:v>
                </c:pt>
                <c:pt idx="4">
                  <c:v>0.25827676624108609</c:v>
                </c:pt>
                <c:pt idx="5">
                  <c:v>0.27004758490320058</c:v>
                </c:pt>
                <c:pt idx="6">
                  <c:v>0.13610562376534724</c:v>
                </c:pt>
                <c:pt idx="7">
                  <c:v>7.8295178771513388E-2</c:v>
                </c:pt>
                <c:pt idx="8">
                  <c:v>0.10970543510636629</c:v>
                </c:pt>
                <c:pt idx="9">
                  <c:v>9.355859004616332E-2</c:v>
                </c:pt>
                <c:pt idx="10">
                  <c:v>9.0548827587133354E-2</c:v>
                </c:pt>
                <c:pt idx="11">
                  <c:v>0.11864848354175651</c:v>
                </c:pt>
                <c:pt idx="12">
                  <c:v>8.4455660451371636E-2</c:v>
                </c:pt>
                <c:pt idx="13">
                  <c:v>6.7566349242125429E-2</c:v>
                </c:pt>
                <c:pt idx="14">
                  <c:v>6.2292332521122748E-2</c:v>
                </c:pt>
              </c:numCache>
            </c:numRef>
          </c:val>
          <c:smooth val="0"/>
          <c:extLst>
            <c:ext xmlns:c16="http://schemas.microsoft.com/office/drawing/2014/chart" uri="{C3380CC4-5D6E-409C-BE32-E72D297353CC}">
              <c16:uniqueId val="{00000004-E5FB-4E04-AFCD-A0B51E8068FD}"/>
            </c:ext>
          </c:extLst>
        </c:ser>
        <c:dLbls>
          <c:showLegendKey val="0"/>
          <c:showVal val="1"/>
          <c:showCatName val="0"/>
          <c:showSerName val="0"/>
          <c:showPercent val="0"/>
          <c:showBubbleSize val="0"/>
        </c:dLbls>
        <c:marker val="1"/>
        <c:smooth val="0"/>
        <c:axId val="1855280912"/>
        <c:axId val="1855272752"/>
      </c:lineChart>
      <c:catAx>
        <c:axId val="1855280368"/>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2700000" spcFirstLastPara="1" vertOverflow="ellipsis" wrap="square" anchor="ctr" anchorCtr="1"/>
          <a:lstStyle/>
          <a:p>
            <a:pPr>
              <a:defRPr sz="900" b="0" i="0" u="none" strike="noStrike" kern="1200" cap="none" spc="0" normalizeH="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855271120"/>
        <c:crosses val="autoZero"/>
        <c:auto val="1"/>
        <c:lblAlgn val="ctr"/>
        <c:lblOffset val="100"/>
        <c:noMultiLvlLbl val="0"/>
      </c:catAx>
      <c:valAx>
        <c:axId val="1855271120"/>
        <c:scaling>
          <c:orientation val="minMax"/>
        </c:scaling>
        <c:delete val="0"/>
        <c:axPos val="l"/>
        <c:title>
          <c:tx>
            <c:strRef>
              <c:f>Summary!$U$4</c:f>
              <c:strCache>
                <c:ptCount val="1"/>
                <c:pt idx="0">
                  <c:v>Idling Duration (h:m:s)</c:v>
                </c:pt>
              </c:strCache>
            </c:strRef>
          </c:tx>
          <c:overlay val="0"/>
          <c:spPr>
            <a:noFill/>
            <a:ln>
              <a:noFill/>
            </a:ln>
            <a:effectLst/>
          </c:spPr>
          <c:txPr>
            <a:bodyPr rot="-54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h]:m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855280368"/>
        <c:crosses val="autoZero"/>
        <c:crossBetween val="between"/>
      </c:valAx>
      <c:valAx>
        <c:axId val="1855272752"/>
        <c:scaling>
          <c:orientation val="minMax"/>
          <c:min val="0"/>
        </c:scaling>
        <c:delete val="0"/>
        <c:axPos val="r"/>
        <c:title>
          <c:tx>
            <c:strRef>
              <c:f>Summary!$U$5</c:f>
              <c:strCache>
                <c:ptCount val="1"/>
                <c:pt idx="0">
                  <c:v>Idling %</c:v>
                </c:pt>
              </c:strCache>
            </c:strRef>
          </c:tx>
          <c:overlay val="0"/>
          <c:spPr>
            <a:noFill/>
            <a:ln>
              <a:noFill/>
            </a:ln>
            <a:effectLst/>
          </c:spPr>
          <c:txPr>
            <a:bodyPr rot="5400000" spcFirstLastPara="1" vertOverflow="ellipsis"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855280912"/>
        <c:crosses val="max"/>
        <c:crossBetween val="between"/>
        <c:minorUnit val="1.0000000000000002E-2"/>
      </c:valAx>
      <c:catAx>
        <c:axId val="1855280912"/>
        <c:scaling>
          <c:orientation val="minMax"/>
        </c:scaling>
        <c:delete val="1"/>
        <c:axPos val="b"/>
        <c:numFmt formatCode="General" sourceLinked="1"/>
        <c:majorTickMark val="out"/>
        <c:minorTickMark val="none"/>
        <c:tickLblPos val="nextTo"/>
        <c:crossAx val="18552727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chart>
  <c:spPr>
    <a:noFill/>
    <a:ln w="9525" cap="flat" cmpd="sng" algn="ctr">
      <a:noFill/>
      <a:round/>
    </a:ln>
    <a:effectLst/>
  </c:spPr>
  <c:txPr>
    <a:bodyPr/>
    <a:lstStyle/>
    <a:p>
      <a:pPr>
        <a:defRPr>
          <a:solidFill>
            <a:sysClr val="windowText" lastClr="000000"/>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4</xdr:col>
      <xdr:colOff>101600</xdr:colOff>
      <xdr:row>2</xdr:row>
      <xdr:rowOff>101600</xdr:rowOff>
    </xdr:from>
    <xdr:to>
      <xdr:col>4</xdr:col>
      <xdr:colOff>445920</xdr:colOff>
      <xdr:row>4</xdr:row>
      <xdr:rowOff>29986</xdr:rowOff>
    </xdr:to>
    <xdr:pic>
      <xdr:nvPicPr>
        <xdr:cNvPr id="3" name="Picture 7">
          <a:extLst>
            <a:ext uri="{FF2B5EF4-FFF2-40B4-BE49-F238E27FC236}">
              <a16:creationId xmlns:a16="http://schemas.microsoft.com/office/drawing/2014/main" id="{01AE8309-6DDB-470F-8A7D-FFBEF3AD1BAC}"/>
            </a:ext>
          </a:extLst>
        </xdr:cNvPr>
        <xdr:cNvPicPr>
          <a:picLocks noChangeAspect="1"/>
        </xdr:cNvPicPr>
      </xdr:nvPicPr>
      <xdr:blipFill>
        <a:blip xmlns:r="http://schemas.openxmlformats.org/officeDocument/2006/relationships" r:embed="rId1"/>
        <a:stretch>
          <a:fillRect/>
        </a:stretch>
      </xdr:blipFill>
      <xdr:spPr>
        <a:xfrm>
          <a:off x="6600825" y="752475"/>
          <a:ext cx="344320" cy="360186"/>
        </a:xfrm>
        <a:prstGeom prst="rect">
          <a:avLst/>
        </a:prstGeom>
      </xdr:spPr>
    </xdr:pic>
    <xdr:clientData/>
  </xdr:twoCellAnchor>
  <xdr:twoCellAnchor editAs="absolute">
    <xdr:from>
      <xdr:col>4</xdr:col>
      <xdr:colOff>0</xdr:colOff>
      <xdr:row>7</xdr:row>
      <xdr:rowOff>190500</xdr:rowOff>
    </xdr:from>
    <xdr:to>
      <xdr:col>13</xdr:col>
      <xdr:colOff>254000</xdr:colOff>
      <xdr:row>20</xdr:row>
      <xdr:rowOff>47625</xdr:rowOff>
    </xdr:to>
    <xdr:graphicFrame macro="">
      <xdr:nvGraphicFramePr>
        <xdr:cNvPr id="4" name="Chart 2">
          <a:extLst>
            <a:ext uri="{FF2B5EF4-FFF2-40B4-BE49-F238E27FC236}">
              <a16:creationId xmlns:a16="http://schemas.microsoft.com/office/drawing/2014/main" id="{0949CB18-89CF-40D1-A2C9-6C6E8602E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njaya" refreshedDate="46074.959811342589" missingItemsLimit="0" createdVersion="4" refreshedVersion="8" recordCount="50" xr:uid="{00000000-000A-0000-FFFF-FFFF03000000}">
  <cacheSource type="worksheet">
    <worksheetSource name="AllData"/>
  </cacheSource>
  <cacheFields count="9">
    <cacheField name="Item" numFmtId="0">
      <sharedItems count="50">
        <s v="Demo - 01 "/>
        <s v="Demo - 02 "/>
        <s v="Demo - 03 "/>
        <s v="Demo - 04 "/>
        <s v="Demo - 05 "/>
        <s v="Demo - 06 "/>
        <s v="Demo - 07 "/>
        <s v="Demo - 08 "/>
        <s v="Demo - 09 "/>
        <s v="Demo - 10 "/>
        <s v="Demo - 11 "/>
        <s v="Demo - 12 "/>
        <s v="Demo - 13 "/>
        <s v="Demo - 14 "/>
        <s v="Demo - 15 "/>
        <s v="Demo - 16 "/>
        <s v="Demo - 17 "/>
        <s v="Demo - 18 "/>
        <s v="Demo - 19 "/>
        <s v="Demo - 20 "/>
        <s v="Demo - 21 "/>
        <s v="Demo - 22 "/>
        <s v="Demo - 23 "/>
        <s v="Demo - 24 "/>
        <s v="Demo - 25 "/>
        <s v="Demo - 26 "/>
        <s v="Demo - 27 "/>
        <s v="Demo - 28 "/>
        <s v="Demo - 29 "/>
        <s v="Demo - 30 "/>
        <s v="Demo - 31 "/>
        <s v="Demo - 32 "/>
        <s v="Demo - 33 "/>
        <s v="Demo - 34 "/>
        <s v="Demo - 35 "/>
        <s v="Demo - 36 "/>
        <s v="Demo - 37 "/>
        <s v="Demo - 38 "/>
        <s v="Demo - 39 "/>
        <s v="Demo - 40 "/>
        <s v="Demo - 41 "/>
        <s v="Demo - 42 "/>
        <s v="Demo - 43 "/>
        <s v="Demo - 44 "/>
        <s v="Demo - 45 "/>
        <s v="Demo - 46 "/>
        <s v="Demo - 47 "/>
        <s v="Demo - 48 "/>
        <s v="Demo - 49 "/>
        <s v="Demo - 50 "/>
      </sharedItems>
    </cacheField>
    <cacheField name="Group" numFmtId="0">
      <sharedItems/>
    </cacheField>
    <cacheField name="Device ID" numFmtId="0">
      <sharedItems/>
    </cacheField>
    <cacheField name="User ID" numFmtId="0">
      <sharedItems containsSemiMixedTypes="0" containsString="0" containsNumber="1" containsInteger="1" minValue="0" maxValue="0"/>
    </cacheField>
    <cacheField name="Driving Duration (h:m:s)" numFmtId="171">
      <sharedItems containsSemiMixedTypes="0" containsNonDate="0" containsDate="1" containsString="0" minDate="1899-12-30T07:34:19" maxDate="1900-01-01T10:31:24"/>
    </cacheField>
    <cacheField name="Idling Duration (h:m:s)" numFmtId="171">
      <sharedItems containsSemiMixedTypes="0" containsNonDate="0" containsDate="1" containsString="0" minDate="1899-12-30T00:05:00" maxDate="1899-12-30T08:00:49"/>
    </cacheField>
    <cacheField name="Engine Hours (h:m:s)" numFmtId="171">
      <sharedItems containsSemiMixedTypes="0" containsNonDate="0" containsDate="1" containsString="0" minDate="1899-12-30T07:39:19" maxDate="1900-01-01T15:51:10"/>
    </cacheField>
    <cacheField name="Include" numFmtId="171">
      <sharedItems/>
    </cacheField>
    <cacheField name="Idling Duration %" numFmtId="10">
      <sharedItems containsSemiMixedTypes="0" containsString="0" containsNumber="1" minValue="3.2079385786693464E-3" maxValue="0.270047584903200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Vehicle, Company Group"/>
    <s v="b1"/>
    <n v="0"/>
    <d v="1900-01-01T01:23:15"/>
    <d v="1899-12-30T03:16:51"/>
    <d v="1900-01-01T04:40:06"/>
    <b v="1"/>
    <n v="6.2292332521122748E-2"/>
  </r>
  <r>
    <x v="1"/>
    <s v="Vehicle, Company Group"/>
    <s v="b2"/>
    <n v="0"/>
    <d v="1899-12-31T19:59:10"/>
    <d v="1899-12-30T02:37:04"/>
    <d v="1899-12-31T22:36:14"/>
    <b v="1"/>
    <n v="5.6170801196848141E-2"/>
  </r>
  <r>
    <x v="2"/>
    <s v="Vehicle, Company Group"/>
    <s v="b3"/>
    <n v="0"/>
    <d v="1899-12-31T14:54:56"/>
    <d v="1899-12-30T02:26:53"/>
    <d v="1899-12-31T17:21:49"/>
    <b v="1"/>
    <n v="5.9183796815504765E-2"/>
  </r>
  <r>
    <x v="3"/>
    <s v="Vehicle, Company Group"/>
    <s v="b4"/>
    <n v="0"/>
    <d v="1899-12-31T06:28:18"/>
    <d v="1899-12-30T02:27:19"/>
    <d v="1899-12-31T08:55:37"/>
    <b v="1"/>
    <n v="7.4567434640660721E-2"/>
  </r>
  <r>
    <x v="4"/>
    <s v="Vehicle, Company Group"/>
    <s v="b5"/>
    <n v="0"/>
    <d v="1899-12-31T02:40:29"/>
    <d v="1899-12-30T02:43:08"/>
    <d v="1899-12-31T05:23:37"/>
    <b v="1"/>
    <n v="9.249931485489099E-2"/>
  </r>
  <r>
    <x v="5"/>
    <s v="Vehicle, Company Group"/>
    <s v="b6"/>
    <n v="0"/>
    <d v="1899-12-30T23:05:12"/>
    <d v="1899-12-30T01:59:14"/>
    <d v="1899-12-31T01:04:26"/>
    <b v="1"/>
    <n v="7.9254647375534532E-2"/>
  </r>
  <r>
    <x v="6"/>
    <s v="Vehicle, Company Group"/>
    <s v="b7"/>
    <n v="0"/>
    <d v="1899-12-30T23:30:02"/>
    <d v="1899-12-30T02:49:35"/>
    <d v="1899-12-31T02:19:37"/>
    <b v="1"/>
    <n v="0.10735727022378848"/>
  </r>
  <r>
    <x v="7"/>
    <s v="Vehicle, Company Group"/>
    <s v="b8"/>
    <n v="0"/>
    <d v="1899-12-30T18:00:48"/>
    <d v="1899-12-30T02:37:02"/>
    <d v="1899-12-30T20:37:50"/>
    <b v="1"/>
    <n v="0.12686145146088595"/>
  </r>
  <r>
    <x v="8"/>
    <s v="Vehicle, Company Group"/>
    <s v="b9"/>
    <n v="0"/>
    <d v="1899-12-30T12:54:17"/>
    <d v="1899-12-30T01:47:11"/>
    <d v="1899-12-30T14:41:28"/>
    <b v="1"/>
    <n v="0.1215965814551505"/>
  </r>
  <r>
    <x v="9"/>
    <s v="Vehicle, Company Group"/>
    <s v="bA"/>
    <n v="0"/>
    <d v="1899-12-30T10:12:29"/>
    <d v="1899-12-30T01:32:18"/>
    <d v="1899-12-30T11:44:47"/>
    <b v="1"/>
    <n v="0.13096223425639084"/>
  </r>
  <r>
    <x v="10"/>
    <s v="Vehicle, Company Group"/>
    <s v="bB"/>
    <n v="0"/>
    <d v="1899-12-31T15:07:24"/>
    <d v="1899-12-30T02:27:12"/>
    <d v="1899-12-31T17:34:36"/>
    <b v="1"/>
    <n v="5.9007456105187213E-2"/>
  </r>
  <r>
    <x v="11"/>
    <s v="Vehicle, Company Group"/>
    <s v="bC"/>
    <n v="0"/>
    <d v="1899-12-31T08:49:42"/>
    <d v="1899-12-30T02:08:55"/>
    <d v="1899-12-31T10:58:37"/>
    <b v="1"/>
    <n v="6.1429354257169402E-2"/>
  </r>
  <r>
    <x v="12"/>
    <s v="Vehicle, Company Group"/>
    <s v="bD"/>
    <n v="0"/>
    <d v="1899-12-30T23:26:29"/>
    <d v="1899-12-30T02:35:20"/>
    <d v="1899-12-31T02:01:49"/>
    <b v="1"/>
    <n v="9.9456829119935128E-2"/>
  </r>
  <r>
    <x v="13"/>
    <s v="Vehicle, Company Group"/>
    <s v="bE"/>
    <n v="0"/>
    <d v="1899-12-30T16:01:04"/>
    <d v="1899-12-30T02:30:38"/>
    <d v="1899-12-30T18:31:42"/>
    <b v="1"/>
    <n v="0.13549818596144045"/>
  </r>
  <r>
    <x v="14"/>
    <s v="Vehicle, Company Group"/>
    <s v="bF"/>
    <n v="0"/>
    <d v="1900-01-01T08:16:59"/>
    <d v="1899-12-30T07:34:11"/>
    <d v="1900-01-01T15:51:10"/>
    <b v="1"/>
    <n v="0.11854961499978249"/>
  </r>
  <r>
    <x v="15"/>
    <s v="Vehicle, Company Group"/>
    <s v="b10"/>
    <n v="0"/>
    <d v="1899-12-31T13:36:40"/>
    <d v="1899-12-30T03:44:41"/>
    <d v="1899-12-31T17:21:21"/>
    <b v="1"/>
    <n v="9.0548827587133354E-2"/>
  </r>
  <r>
    <x v="16"/>
    <s v="Vehicle, Company Group"/>
    <s v="b11"/>
    <n v="0"/>
    <d v="1899-12-31T04:47:24"/>
    <d v="1899-12-30T04:32:09"/>
    <d v="1899-12-31T09:19:33"/>
    <b v="1"/>
    <n v="0.13610562376534724"/>
  </r>
  <r>
    <x v="17"/>
    <s v="Vehicle, Company Group"/>
    <s v="b12"/>
    <n v="0"/>
    <d v="1899-12-30T16:48:55"/>
    <d v="1899-12-30T05:51:19"/>
    <d v="1899-12-30T22:40:14"/>
    <b v="1"/>
    <n v="0.25827676624108609"/>
  </r>
  <r>
    <x v="18"/>
    <s v="Vehicle, Company Group"/>
    <s v="b13"/>
    <n v="0"/>
    <d v="1900-01-01T10:31:24"/>
    <d v="1899-12-30T02:50:55"/>
    <d v="1900-01-01T13:22:19"/>
    <b v="1"/>
    <n v="4.6415526457528999E-2"/>
  </r>
  <r>
    <x v="19"/>
    <s v="Vehicle, Company Group"/>
    <s v="b14"/>
    <n v="0"/>
    <d v="1899-12-31T15:21:57"/>
    <d v="1899-12-30T02:00:21"/>
    <d v="1899-12-31T17:22:18"/>
    <b v="1"/>
    <n v="4.8483261491358821E-2"/>
  </r>
  <r>
    <x v="20"/>
    <s v="Vehicle, Company Group"/>
    <s v="b15"/>
    <n v="0"/>
    <d v="1899-12-31T05:56:23"/>
    <d v="1899-12-30T01:54:29"/>
    <d v="1899-12-31T07:50:52"/>
    <b v="1"/>
    <n v="5.9911732896068097E-2"/>
  </r>
  <r>
    <x v="21"/>
    <s v="Vehicle, Company Group"/>
    <s v="b16"/>
    <n v="0"/>
    <d v="1899-12-30T17:56:00"/>
    <d v="1899-12-30T01:46:18"/>
    <d v="1899-12-30T19:42:18"/>
    <b v="1"/>
    <n v="8.990949843525331E-2"/>
  </r>
  <r>
    <x v="22"/>
    <s v="Vehicle, Company Group"/>
    <s v="b17"/>
    <n v="0"/>
    <d v="1899-12-31T13:00:48"/>
    <d v="1899-12-30T03:03:49"/>
    <d v="1899-12-31T16:04:37"/>
    <b v="1"/>
    <n v="7.6443230729776754E-2"/>
  </r>
  <r>
    <x v="23"/>
    <s v="Vehicle, Company Group"/>
    <s v="b18"/>
    <n v="0"/>
    <d v="1899-12-31T07:33:02"/>
    <d v="1899-12-30T03:53:16"/>
    <d v="1899-12-31T11:26:18"/>
    <b v="1"/>
    <n v="0.10970543510636629"/>
  </r>
  <r>
    <x v="24"/>
    <s v="Vehicle, Company Group"/>
    <s v="b19"/>
    <n v="0"/>
    <d v="1899-12-30T18:21:50"/>
    <d v="1899-12-30T02:46:00"/>
    <d v="1899-12-30T21:07:50"/>
    <b v="1"/>
    <n v="0.13093203628237152"/>
  </r>
  <r>
    <x v="25"/>
    <s v="Vehicle, Company Group"/>
    <s v="b1A"/>
    <n v="0"/>
    <d v="1899-12-30T14:33:53"/>
    <d v="1899-12-30T02:21:21"/>
    <d v="1899-12-30T16:55:14"/>
    <b v="1"/>
    <n v="0.13922907705946086"/>
  </r>
  <r>
    <x v="26"/>
    <s v="Vehicle, Company Group"/>
    <s v="b1B"/>
    <n v="0"/>
    <d v="1900-01-01T00:12:49"/>
    <d v="1899-12-30T04:05:44"/>
    <d v="1900-01-01T04:18:33"/>
    <b v="1"/>
    <n v="7.8295178771513388E-2"/>
  </r>
  <r>
    <x v="27"/>
    <s v="Vehicle, Company Group"/>
    <s v="b1C"/>
    <n v="0"/>
    <d v="1899-12-31T12:22:49"/>
    <d v="1899-12-30T03:45:18"/>
    <d v="1899-12-31T16:08:07"/>
    <b v="1"/>
    <n v="9.355859004616332E-2"/>
  </r>
  <r>
    <x v="28"/>
    <s v="Vehicle, Company Group"/>
    <s v="b1D"/>
    <n v="0"/>
    <d v="1899-12-31T03:15:05"/>
    <d v="1899-12-30T03:40:07"/>
    <d v="1899-12-31T06:55:12"/>
    <b v="1"/>
    <n v="0.11864848354175651"/>
  </r>
  <r>
    <x v="29"/>
    <s v="Vehicle, Company Group"/>
    <s v="b1E"/>
    <n v="0"/>
    <d v="1899-12-30T16:04:19"/>
    <d v="1899-12-30T02:30:57"/>
    <d v="1899-12-30T18:35:16"/>
    <b v="1"/>
    <n v="0.13534879550481202"/>
  </r>
  <r>
    <x v="30"/>
    <s v="Vehicle, Company Group"/>
    <s v="b1F"/>
    <n v="0"/>
    <d v="1900-01-01T03:49:50"/>
    <d v="1899-12-30T08:00:49"/>
    <d v="1900-01-01T11:50:39"/>
    <b v="1"/>
    <n v="0.13390797395086312"/>
  </r>
  <r>
    <x v="31"/>
    <s v="Vehicle, Company Group"/>
    <s v="b20"/>
    <n v="0"/>
    <d v="1899-12-31T15:35:17"/>
    <d v="1899-12-30T06:29:24"/>
    <d v="1899-12-31T22:04:41"/>
    <b v="1"/>
    <n v="0.14084795727057348"/>
  </r>
  <r>
    <x v="32"/>
    <s v="Vehicle, Company Group"/>
    <s v="b21"/>
    <n v="0"/>
    <d v="1899-12-31T09:45:08"/>
    <d v="1899-12-30T06:12:10"/>
    <d v="1899-12-31T15:57:18"/>
    <b v="1"/>
    <n v="0.15524409405025097"/>
  </r>
  <r>
    <x v="33"/>
    <s v="Vehicle, Company Group"/>
    <s v="b22"/>
    <n v="0"/>
    <d v="1899-12-30T15:33:11"/>
    <d v="1899-12-30T05:45:14"/>
    <d v="1899-12-30T21:18:25"/>
    <b v="1"/>
    <n v="0.27004758490320058"/>
  </r>
  <r>
    <x v="34"/>
    <s v="Vehicle, Company Group"/>
    <s v="b23"/>
    <n v="0"/>
    <d v="1900-01-01T00:04:05"/>
    <d v="1899-12-30T02:21:21"/>
    <d v="1900-01-01T02:25:26"/>
    <b v="1"/>
    <n v="4.6720579972015022E-2"/>
  </r>
  <r>
    <x v="35"/>
    <s v="Vehicle, Company Group"/>
    <s v="b24"/>
    <n v="0"/>
    <d v="1899-12-31T14:18:55"/>
    <d v="1899-12-30T01:50:46"/>
    <d v="1899-12-31T16:09:41"/>
    <b v="1"/>
    <n v="4.596731244077714E-2"/>
  </r>
  <r>
    <x v="36"/>
    <s v="Vehicle, Company Group"/>
    <s v="b25"/>
    <n v="0"/>
    <d v="1899-12-31T05:03:00"/>
    <d v="1899-12-30T01:10:38"/>
    <d v="1899-12-31T06:13:38"/>
    <b v="1"/>
    <n v="3.8945762649561656E-2"/>
  </r>
  <r>
    <x v="37"/>
    <s v="Vehicle, Company Group"/>
    <s v="b26"/>
    <n v="0"/>
    <d v="1899-12-30T22:47:00"/>
    <d v="1899-12-30T01:30:03"/>
    <d v="1899-12-31T00:17:03"/>
    <b v="1"/>
    <n v="6.180295803163928E-2"/>
  </r>
  <r>
    <x v="38"/>
    <s v="Vehicle, Company Group"/>
    <s v="b27"/>
    <n v="0"/>
    <d v="1899-12-31T11:13:58"/>
    <d v="1899-12-30T02:25:27"/>
    <d v="1899-12-31T13:39:25"/>
    <b v="1"/>
    <n v="6.4375023051672628E-2"/>
  </r>
  <r>
    <x v="39"/>
    <s v="Vehicle, Company Group"/>
    <s v="b28"/>
    <n v="0"/>
    <d v="1899-12-31T02:48:01"/>
    <d v="1899-12-30T02:12:09"/>
    <d v="1899-12-31T05:00:10"/>
    <b v="1"/>
    <n v="7.5941001819749068E-2"/>
  </r>
  <r>
    <x v="40"/>
    <s v="Vehicle, Company Group"/>
    <s v="b29"/>
    <n v="0"/>
    <d v="1899-12-30T20:03:32"/>
    <d v="1899-12-30T02:36:59"/>
    <d v="1899-12-30T22:40:31"/>
    <b v="1"/>
    <n v="0.11538508654800259"/>
  </r>
  <r>
    <x v="41"/>
    <s v="Vehicle, Company Group"/>
    <s v="b2A"/>
    <n v="0"/>
    <d v="1899-12-30T10:40:50"/>
    <d v="1899-12-30T02:20:14"/>
    <d v="1899-12-30T13:01:04"/>
    <b v="1"/>
    <n v="0.17954079890747693"/>
  </r>
  <r>
    <x v="42"/>
    <s v="Vehicle, Company Group"/>
    <s v="b2B"/>
    <n v="0"/>
    <d v="1900-01-01T02:44:07"/>
    <d v="1899-12-30T01:46:46"/>
    <d v="1900-01-01T04:30:53"/>
    <b v="1"/>
    <n v="3.3884677841663449E-2"/>
  </r>
  <r>
    <x v="43"/>
    <s v="Vehicle, Company Group"/>
    <s v="b2C"/>
    <n v="0"/>
    <d v="1899-12-31T21:57:59"/>
    <d v="1899-12-30T03:19:51"/>
    <d v="1900-01-01T01:17:50"/>
    <b v="1"/>
    <n v="6.7566349242125429E-2"/>
  </r>
  <r>
    <x v="44"/>
    <s v="Vehicle, Company Group"/>
    <s v="b2D"/>
    <n v="0"/>
    <d v="1899-12-31T14:53:58"/>
    <d v="1899-12-30T03:35:18"/>
    <d v="1899-12-31T18:29:16"/>
    <b v="1"/>
    <n v="8.4455660451371636E-2"/>
  </r>
  <r>
    <x v="45"/>
    <s v="Vehicle, Company Group"/>
    <s v="b2E"/>
    <n v="0"/>
    <d v="1899-12-30T15:48:05"/>
    <d v="1899-12-30T02:25:50"/>
    <d v="1899-12-30T18:13:55"/>
    <b v="1"/>
    <n v="0.13331301896853812"/>
  </r>
  <r>
    <x v="46"/>
    <s v="Vehicle, Company Group"/>
    <s v="b2F"/>
    <n v="0"/>
    <d v="1899-12-31T01:53:38"/>
    <d v="1899-12-30T00:05:00"/>
    <d v="1899-12-31T01:58:38"/>
    <b v="1"/>
    <n v="3.2079385786693464E-3"/>
  </r>
  <r>
    <x v="47"/>
    <s v="Vehicle, Company Group"/>
    <s v="b30"/>
    <n v="0"/>
    <d v="1899-12-30T21:20:26"/>
    <d v="1899-12-30T00:05:00"/>
    <d v="1899-12-30T21:25:26"/>
    <b v="1"/>
    <n v="3.8897388688639368E-3"/>
  </r>
  <r>
    <x v="48"/>
    <s v="Vehicle, Company Group"/>
    <s v="b31"/>
    <n v="0"/>
    <d v="1899-12-30T14:18:22"/>
    <d v="1899-12-30T00:05:00"/>
    <d v="1899-12-30T14:23:22"/>
    <b v="1"/>
    <n v="5.7912821898768382E-3"/>
  </r>
  <r>
    <x v="49"/>
    <s v="Vehicle, Company Group"/>
    <s v="b32"/>
    <n v="0"/>
    <d v="1899-12-30T07:34:19"/>
    <d v="1899-12-30T00:05:00"/>
    <d v="1899-12-30T07:39:19"/>
    <b v="1"/>
    <n v="1.0885736057186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Riskmangement Summary" cacheId="4" applyNumberFormats="0" applyBorderFormats="0" applyFontFormats="0" applyPatternFormats="0" applyAlignmentFormats="0" applyWidthHeightFormats="1" dataCaption="Data" updatedVersion="8" minRefreshableVersion="3" showDrill="0" showMemberPropertyTips="0" itemPrintTitles="1" createdVersion="4" indent="0" compact="0" compactData="0">
  <location ref="A9:C60" firstHeaderRow="0" firstDataRow="1" firstDataCol="1"/>
  <pivotFields count="9">
    <pivotField axis="axisRow" compact="0" outline="0" showAll="0"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71" outline="0" showAll="0"/>
    <pivotField dataField="1" compact="0" numFmtId="171" outline="0" showAll="0"/>
    <pivotField compact="0" numFmtId="171" outline="0" showAll="0"/>
    <pivotField compact="0" outline="0" showAll="0" defaultSubtotal="0"/>
    <pivotField dataField="1" compact="0" numFmtId="10" outline="0" showAll="0"/>
  </pivotFields>
  <rowFields count="1">
    <field x="0"/>
  </rowFields>
  <rowItems count="51">
    <i>
      <x v="30"/>
    </i>
    <i>
      <x v="14"/>
    </i>
    <i>
      <x v="31"/>
    </i>
    <i>
      <x v="32"/>
    </i>
    <i>
      <x v="17"/>
    </i>
    <i>
      <x v="33"/>
    </i>
    <i>
      <x v="16"/>
    </i>
    <i>
      <x v="26"/>
    </i>
    <i>
      <x v="23"/>
    </i>
    <i>
      <x v="27"/>
    </i>
    <i>
      <x v="15"/>
    </i>
    <i>
      <x v="28"/>
    </i>
    <i>
      <x v="44"/>
    </i>
    <i>
      <x v="43"/>
    </i>
    <i>
      <x/>
    </i>
    <i>
      <x v="22"/>
    </i>
    <i>
      <x v="18"/>
    </i>
    <i>
      <x v="6"/>
    </i>
    <i>
      <x v="24"/>
    </i>
    <i>
      <x v="4"/>
    </i>
    <i>
      <x v="1"/>
    </i>
    <i>
      <x v="7"/>
    </i>
    <i>
      <x v="40"/>
    </i>
    <i>
      <x v="12"/>
    </i>
    <i>
      <x v="29"/>
    </i>
    <i>
      <x v="13"/>
    </i>
    <i>
      <x v="3"/>
    </i>
    <i>
      <x v="10"/>
    </i>
    <i>
      <x v="2"/>
    </i>
    <i>
      <x v="45"/>
    </i>
    <i>
      <x v="38"/>
    </i>
    <i>
      <x v="25"/>
    </i>
    <i>
      <x v="34"/>
    </i>
    <i>
      <x v="41"/>
    </i>
    <i>
      <x v="39"/>
    </i>
    <i>
      <x v="11"/>
    </i>
    <i>
      <x v="19"/>
    </i>
    <i>
      <x v="5"/>
    </i>
    <i>
      <x v="20"/>
    </i>
    <i>
      <x v="35"/>
    </i>
    <i>
      <x v="8"/>
    </i>
    <i>
      <x v="42"/>
    </i>
    <i>
      <x v="21"/>
    </i>
    <i>
      <x v="9"/>
    </i>
    <i>
      <x v="37"/>
    </i>
    <i>
      <x v="36"/>
    </i>
    <i>
      <x v="49"/>
    </i>
    <i>
      <x v="48"/>
    </i>
    <i>
      <x v="47"/>
    </i>
    <i>
      <x v="46"/>
    </i>
    <i t="grand">
      <x/>
    </i>
  </rowItems>
  <colFields count="1">
    <field x="-2"/>
  </colFields>
  <colItems count="2">
    <i>
      <x/>
    </i>
    <i i="1">
      <x v="1"/>
    </i>
  </colItems>
  <dataFields count="2">
    <dataField name="Idling Duration" fld="5" baseField="0" baseItem="4" numFmtId="171"/>
    <dataField name="Idling %" fld="8" subtotal="average" baseField="0" baseItem="4" numFmtId="10"/>
  </dataFields>
  <formats count="10">
    <format dxfId="39">
      <pivotArea type="all" dataOnly="0" outline="0" fieldPosition="0"/>
    </format>
    <format dxfId="38">
      <pivotArea type="all" dataOnly="0" outline="0" fieldPosition="0"/>
    </format>
    <format dxfId="37">
      <pivotArea type="all" dataOnly="0" outline="0" fieldPosition="0"/>
    </format>
    <format dxfId="36">
      <pivotArea outline="0" collapsedLevelsAreSubtotals="1" fieldPosition="0"/>
    </format>
    <format dxfId="35">
      <pivotArea dataOnly="0" labelOnly="1" grandRow="1" outline="0" fieldPosition="0"/>
    </format>
    <format dxfId="34">
      <pivotArea dataOnly="0" outline="0" fieldPosition="0">
        <references count="1">
          <reference field="4294967294" count="2">
            <x v="0"/>
            <x v="1"/>
          </reference>
        </references>
      </pivotArea>
    </format>
    <format dxfId="33">
      <pivotArea outline="0" fieldPosition="0">
        <references count="1">
          <reference field="4294967294" count="1">
            <x v="0"/>
          </reference>
        </references>
      </pivotArea>
    </format>
    <format dxfId="32">
      <pivotArea outline="0" fieldPosition="0">
        <references count="1">
          <reference field="4294967294" count="1">
            <x v="1"/>
          </reference>
        </references>
      </pivotArea>
    </format>
    <format dxfId="31">
      <pivotArea field="0" type="button" dataOnly="0" labelOnly="1" outline="0" axis="axisRow" fieldPosition="0"/>
    </format>
    <format dxfId="30">
      <pivotArea dataOnly="0" labelOnly="1" outline="0" fieldPosition="0">
        <references count="1">
          <reference field="4294967294" count="2">
            <x v="0"/>
            <x v="1"/>
          </reference>
        </references>
      </pivotArea>
    </format>
  </formats>
  <pivotTableStyleInfo name="PivotStyleLightCustom" showRowHeaders="0"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Riskmangement Summary" cacheId="4" applyNumberFormats="0" applyBorderFormats="0" applyFontFormats="0" applyPatternFormats="0" applyAlignmentFormats="0" applyWidthHeightFormats="1" dataCaption="Data" updatedVersion="8" minRefreshableVersion="3" showDrill="0" showMemberPropertyTips="0" rowGrandTotals="0" colGrandTotals="0" itemPrintTitles="1" createdVersion="4" indent="0" compact="0" compactData="0" chartFormat="2">
  <location ref="A9:C24" firstHeaderRow="0" firstDataRow="1" firstDataCol="1"/>
  <pivotFields count="9">
    <pivotField axis="axisRow" compact="0" outline="0" showAll="0" measureFilter="1" sortType="descending">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71" outline="0" showAll="0"/>
    <pivotField dataField="1" compact="0" numFmtId="171" outline="0" showAll="0"/>
    <pivotField compact="0" numFmtId="171" outline="0" showAll="0"/>
    <pivotField compact="0" outline="0" showAll="0" defaultSubtotal="0"/>
    <pivotField dataField="1" compact="0" numFmtId="10" outline="0" showAll="0"/>
  </pivotFields>
  <rowFields count="1">
    <field x="0"/>
  </rowFields>
  <rowItems count="15">
    <i>
      <x v="30"/>
    </i>
    <i>
      <x v="14"/>
    </i>
    <i>
      <x v="31"/>
    </i>
    <i>
      <x v="32"/>
    </i>
    <i>
      <x v="17"/>
    </i>
    <i>
      <x v="33"/>
    </i>
    <i>
      <x v="16"/>
    </i>
    <i>
      <x v="26"/>
    </i>
    <i>
      <x v="23"/>
    </i>
    <i>
      <x v="27"/>
    </i>
    <i>
      <x v="15"/>
    </i>
    <i>
      <x v="28"/>
    </i>
    <i>
      <x v="44"/>
    </i>
    <i>
      <x v="43"/>
    </i>
    <i>
      <x/>
    </i>
  </rowItems>
  <colFields count="1">
    <field x="-2"/>
  </colFields>
  <colItems count="2">
    <i>
      <x/>
    </i>
    <i i="1">
      <x v="1"/>
    </i>
  </colItems>
  <dataFields count="2">
    <dataField name="Idling Duration" fld="5" baseField="0" baseItem="0" numFmtId="171"/>
    <dataField name="Idling %" fld="8" subtotal="average" baseField="0" baseItem="0" numFmtId="10"/>
  </dataFields>
  <formats count="10">
    <format dxfId="29">
      <pivotArea type="all" dataOnly="0" outline="0" fieldPosition="0"/>
    </format>
    <format dxfId="28">
      <pivotArea type="all" dataOnly="0" outline="0" fieldPosition="0"/>
    </format>
    <format dxfId="27">
      <pivotArea type="all" dataOnly="0" outline="0" fieldPosition="0"/>
    </format>
    <format dxfId="26">
      <pivotArea outline="0" collapsedLevelsAreSubtotals="1" fieldPosition="0"/>
    </format>
    <format dxfId="25">
      <pivotArea dataOnly="0" labelOnly="1" grandRow="1" outline="0" fieldPosition="0"/>
    </format>
    <format dxfId="24">
      <pivotArea outline="0" fieldPosition="0">
        <references count="1">
          <reference field="4294967294" count="1">
            <x v="0"/>
          </reference>
        </references>
      </pivotArea>
    </format>
    <format dxfId="23">
      <pivotArea outline="0" fieldPosition="0">
        <references count="1">
          <reference field="4294967294" count="1">
            <x v="1"/>
          </reference>
        </references>
      </pivotArea>
    </format>
    <format dxfId="22">
      <pivotArea dataOnly="0" outline="0" fieldPosition="0">
        <references count="1">
          <reference field="4294967294" count="2">
            <x v="0"/>
            <x v="1"/>
          </reference>
        </references>
      </pivotArea>
    </format>
    <format dxfId="21">
      <pivotArea field="0" type="button" dataOnly="0" labelOnly="1" outline="0" axis="axisRow" fieldPosition="0"/>
    </format>
    <format dxfId="20">
      <pivotArea dataOnly="0" labelOnly="1" outline="0" fieldPosition="0">
        <references count="1">
          <reference field="4294967294" count="2">
            <x v="0"/>
            <x v="1"/>
          </reference>
        </references>
      </pivotArea>
    </format>
  </formats>
  <chartFormats count="2">
    <chartFormat chart="1" format="35" series="1">
      <pivotArea type="data" outline="0" fieldPosition="0">
        <references count="1">
          <reference field="4294967294" count="1" selected="0">
            <x v="0"/>
          </reference>
        </references>
      </pivotArea>
    </chartFormat>
    <chartFormat chart="1" format="36" series="1">
      <pivotArea type="data" outline="0" fieldPosition="0">
        <references count="1">
          <reference field="4294967294" count="1" selected="0">
            <x v="1"/>
          </reference>
        </references>
      </pivotArea>
    </chartFormat>
  </chartFormats>
  <pivotTableStyleInfo name="PivotStyleLightCustom" showRowHeaders="0" showColHeaders="1" showRowStripes="1" showColStripes="0" showLastColumn="1"/>
  <filters count="1">
    <filter fld="0"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CheckmateReportTheme">
  <a:themeElements>
    <a:clrScheme name="Primary">
      <a:dk1>
        <a:sysClr val="windowText" lastClr="000000"/>
      </a:dk1>
      <a:lt1>
        <a:sysClr val="window" lastClr="FFFFFF"/>
      </a:lt1>
      <a:dk2>
        <a:srgbClr val="00B0F0"/>
      </a:dk2>
      <a:lt2>
        <a:srgbClr val="25477B"/>
      </a:lt2>
      <a:accent1>
        <a:srgbClr val="696A6C"/>
      </a:accent1>
      <a:accent2>
        <a:srgbClr val="92D050"/>
      </a:accent2>
      <a:accent3>
        <a:srgbClr val="FAD201"/>
      </a:accent3>
      <a:accent4>
        <a:srgbClr val="F7941E"/>
      </a:accent4>
      <a:accent5>
        <a:srgbClr val="FF0000"/>
      </a:accent5>
      <a:accent6>
        <a:srgbClr val="B95FE1"/>
      </a:accent6>
      <a:hlink>
        <a:srgbClr val="00B0F0"/>
      </a:hlink>
      <a:folHlink>
        <a:srgbClr val="0082E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1"/>
  <sheetViews>
    <sheetView tabSelected="1" workbookViewId="0">
      <pane ySplit="11" topLeftCell="A12" activePane="bottomLeft" state="frozen"/>
      <selection pane="bottomLeft" activeCell="E14" sqref="E14"/>
    </sheetView>
  </sheetViews>
  <sheetFormatPr defaultColWidth="8.85546875" defaultRowHeight="12.75" x14ac:dyDescent="0.2"/>
  <cols>
    <col min="1" max="1" width="15.42578125" customWidth="1"/>
    <col min="2" max="2" width="18.42578125" bestFit="1" customWidth="1"/>
    <col min="3" max="5" width="18.42578125" customWidth="1"/>
    <col min="6" max="9" width="13" customWidth="1"/>
    <col min="10" max="10" width="12" customWidth="1"/>
    <col min="11" max="11" width="10" customWidth="1"/>
  </cols>
  <sheetData>
    <row r="1" spans="1:11" x14ac:dyDescent="0.2">
      <c r="A1" s="4" t="s">
        <v>8</v>
      </c>
      <c r="B1" s="5" t="s">
        <v>1401</v>
      </c>
      <c r="C1" s="5"/>
      <c r="D1" s="5"/>
      <c r="E1" s="5"/>
    </row>
    <row r="2" spans="1:11" x14ac:dyDescent="0.2">
      <c r="A2" s="4" t="s">
        <v>5</v>
      </c>
      <c r="B2" s="5">
        <v>46074.959041168979</v>
      </c>
      <c r="C2" s="5"/>
      <c r="D2" s="5"/>
      <c r="E2" s="5"/>
    </row>
    <row r="3" spans="1:11" x14ac:dyDescent="0.2">
      <c r="A3" s="4" t="s">
        <v>6</v>
      </c>
      <c r="B3" s="5">
        <v>45678</v>
      </c>
      <c r="C3" s="5"/>
      <c r="D3" s="5"/>
      <c r="E3" s="5"/>
    </row>
    <row r="4" spans="1:11" x14ac:dyDescent="0.2">
      <c r="A4" s="4" t="s">
        <v>7</v>
      </c>
      <c r="B4" s="5">
        <v>46074.999988425923</v>
      </c>
      <c r="C4" s="5"/>
      <c r="D4" s="5"/>
      <c r="E4" s="5"/>
    </row>
    <row r="5" spans="1:11" x14ac:dyDescent="0.2">
      <c r="A5" s="4" t="s">
        <v>483</v>
      </c>
      <c r="B5" s="5" t="s">
        <v>1402</v>
      </c>
      <c r="C5" s="5"/>
      <c r="D5" s="5"/>
      <c r="E5" s="5"/>
    </row>
    <row r="6" spans="1:11" x14ac:dyDescent="0.2">
      <c r="A6" s="4" t="s">
        <v>9</v>
      </c>
      <c r="B6" s="5" t="s">
        <v>1403</v>
      </c>
      <c r="C6" s="5"/>
      <c r="D6" s="5"/>
      <c r="E6" s="5"/>
    </row>
    <row r="7" spans="1:11" x14ac:dyDescent="0.2">
      <c r="A7" s="4" t="s">
        <v>10</v>
      </c>
      <c r="B7" s="5" t="s">
        <v>1404</v>
      </c>
      <c r="C7" s="5"/>
      <c r="D7" s="5"/>
      <c r="E7" s="5"/>
    </row>
    <row r="8" spans="1:11" x14ac:dyDescent="0.2">
      <c r="A8" s="4" t="s">
        <v>11</v>
      </c>
      <c r="B8" s="5" t="b">
        <v>1</v>
      </c>
      <c r="C8" s="5"/>
      <c r="D8" s="5"/>
      <c r="E8" s="5"/>
    </row>
    <row r="9" spans="1:11" x14ac:dyDescent="0.2">
      <c r="A9" s="4" t="s">
        <v>12</v>
      </c>
      <c r="B9" s="5" t="s">
        <v>1405</v>
      </c>
      <c r="C9" s="5"/>
      <c r="D9" s="5"/>
      <c r="E9" s="5"/>
    </row>
    <row r="10" spans="1:11" x14ac:dyDescent="0.2">
      <c r="A10" s="4" t="s">
        <v>238</v>
      </c>
      <c r="B10" s="5" t="s">
        <v>239</v>
      </c>
      <c r="C10" s="5"/>
      <c r="D10" s="5"/>
      <c r="E10" s="5"/>
    </row>
    <row r="11" spans="1:11" ht="32.25" customHeight="1" thickBot="1" x14ac:dyDescent="0.25">
      <c r="A11" s="1" t="s">
        <v>2</v>
      </c>
      <c r="B11" s="1" t="s">
        <v>1</v>
      </c>
      <c r="C11" s="1" t="s">
        <v>1009</v>
      </c>
      <c r="D11" s="1" t="s">
        <v>884</v>
      </c>
      <c r="E11" s="1" t="s">
        <v>885</v>
      </c>
      <c r="F11" s="1" t="s">
        <v>240</v>
      </c>
      <c r="G11" s="1" t="s">
        <v>241</v>
      </c>
      <c r="H11" s="1" t="s">
        <v>3</v>
      </c>
      <c r="I11" s="1" t="s">
        <v>1008</v>
      </c>
      <c r="J11" s="1" t="s">
        <v>13</v>
      </c>
      <c r="K11" s="1" t="s">
        <v>4</v>
      </c>
    </row>
    <row r="12" spans="1:11" x14ac:dyDescent="0.2">
      <c r="A12" s="2" t="s">
        <v>1406</v>
      </c>
      <c r="B12" s="2" t="s">
        <v>1407</v>
      </c>
      <c r="C12" s="2" t="s">
        <v>1408</v>
      </c>
      <c r="D12" s="2" t="s">
        <v>1409</v>
      </c>
      <c r="J12" s="3">
        <v>2.0578124999999998</v>
      </c>
      <c r="K12" s="3">
        <v>0.13670138888888889</v>
      </c>
    </row>
    <row r="13" spans="1:11" x14ac:dyDescent="0.2">
      <c r="A13" s="2" t="s">
        <v>1410</v>
      </c>
      <c r="B13" s="2" t="s">
        <v>1407</v>
      </c>
      <c r="C13" s="2" t="s">
        <v>1408</v>
      </c>
      <c r="D13" s="2" t="s">
        <v>1411</v>
      </c>
      <c r="J13" s="3">
        <v>1.8327546296296295</v>
      </c>
      <c r="K13" s="3">
        <v>0.10907407407407407</v>
      </c>
    </row>
    <row r="14" spans="1:11" x14ac:dyDescent="0.2">
      <c r="A14" s="2" t="s">
        <v>1412</v>
      </c>
      <c r="B14" s="2" t="s">
        <v>1407</v>
      </c>
      <c r="C14" s="2" t="s">
        <v>1408</v>
      </c>
      <c r="D14" s="2" t="s">
        <v>1413</v>
      </c>
      <c r="J14" s="3">
        <v>1.6214814814814815</v>
      </c>
      <c r="K14" s="3">
        <v>0.10200231481481481</v>
      </c>
    </row>
    <row r="15" spans="1:11" x14ac:dyDescent="0.2">
      <c r="A15" s="2" t="s">
        <v>1414</v>
      </c>
      <c r="B15" s="2" t="s">
        <v>1407</v>
      </c>
      <c r="C15" s="2" t="s">
        <v>1408</v>
      </c>
      <c r="D15" s="2" t="s">
        <v>1415</v>
      </c>
      <c r="J15" s="3">
        <v>1.2696527777777777</v>
      </c>
      <c r="K15" s="3">
        <v>0.10230324074074074</v>
      </c>
    </row>
    <row r="16" spans="1:11" x14ac:dyDescent="0.2">
      <c r="A16" s="2" t="s">
        <v>1416</v>
      </c>
      <c r="B16" s="2" t="s">
        <v>1407</v>
      </c>
      <c r="C16" s="2" t="s">
        <v>1408</v>
      </c>
      <c r="D16" s="2" t="s">
        <v>1417</v>
      </c>
      <c r="J16" s="3">
        <v>1.1114467592592592</v>
      </c>
      <c r="K16" s="3">
        <v>0.11328703703703703</v>
      </c>
    </row>
    <row r="17" spans="1:11" x14ac:dyDescent="0.2">
      <c r="A17" s="2" t="s">
        <v>1418</v>
      </c>
      <c r="B17" s="2" t="s">
        <v>1407</v>
      </c>
      <c r="C17" s="2" t="s">
        <v>1408</v>
      </c>
      <c r="D17" s="2" t="s">
        <v>1419</v>
      </c>
      <c r="J17" s="3">
        <v>0.96194444444444449</v>
      </c>
      <c r="K17" s="3">
        <v>8.2800925925925931E-2</v>
      </c>
    </row>
    <row r="18" spans="1:11" x14ac:dyDescent="0.2">
      <c r="A18" s="2" t="s">
        <v>1420</v>
      </c>
      <c r="B18" s="2" t="s">
        <v>1407</v>
      </c>
      <c r="C18" s="2" t="s">
        <v>1408</v>
      </c>
      <c r="D18" s="2" t="s">
        <v>1421</v>
      </c>
      <c r="J18" s="3">
        <v>0.97918981481481482</v>
      </c>
      <c r="K18" s="3">
        <v>0.11776620370370371</v>
      </c>
    </row>
    <row r="19" spans="1:11" x14ac:dyDescent="0.2">
      <c r="A19" s="2" t="s">
        <v>1422</v>
      </c>
      <c r="B19" s="2" t="s">
        <v>1407</v>
      </c>
      <c r="C19" s="2" t="s">
        <v>1408</v>
      </c>
      <c r="D19" s="2" t="s">
        <v>1423</v>
      </c>
      <c r="J19" s="3">
        <v>0.75055555555555553</v>
      </c>
      <c r="K19" s="3">
        <v>0.10905092592592593</v>
      </c>
    </row>
    <row r="20" spans="1:11" x14ac:dyDescent="0.2">
      <c r="A20" s="2" t="s">
        <v>1424</v>
      </c>
      <c r="B20" s="2" t="s">
        <v>1407</v>
      </c>
      <c r="C20" s="2" t="s">
        <v>1408</v>
      </c>
      <c r="D20" s="2" t="s">
        <v>1425</v>
      </c>
      <c r="J20" s="3">
        <v>0.5376967592592593</v>
      </c>
      <c r="K20" s="3">
        <v>7.4432870370370371E-2</v>
      </c>
    </row>
    <row r="21" spans="1:11" x14ac:dyDescent="0.2">
      <c r="A21" s="2" t="s">
        <v>1426</v>
      </c>
      <c r="B21" s="2" t="s">
        <v>1407</v>
      </c>
      <c r="C21" s="2" t="s">
        <v>1408</v>
      </c>
      <c r="D21" s="2" t="s">
        <v>1427</v>
      </c>
      <c r="J21" s="3">
        <v>0.42533564814814817</v>
      </c>
      <c r="K21" s="3">
        <v>6.4097222222222222E-2</v>
      </c>
    </row>
    <row r="22" spans="1:11" x14ac:dyDescent="0.2">
      <c r="A22" s="2" t="s">
        <v>1428</v>
      </c>
      <c r="B22" s="2" t="s">
        <v>1407</v>
      </c>
      <c r="C22" s="2" t="s">
        <v>1408</v>
      </c>
      <c r="D22" s="2" t="s">
        <v>1429</v>
      </c>
      <c r="J22" s="3">
        <v>1.6301388888888888</v>
      </c>
      <c r="K22" s="3">
        <v>0.10222222222222223</v>
      </c>
    </row>
    <row r="23" spans="1:11" x14ac:dyDescent="0.2">
      <c r="A23" s="2" t="s">
        <v>1430</v>
      </c>
      <c r="B23" s="2" t="s">
        <v>1407</v>
      </c>
      <c r="C23" s="2" t="s">
        <v>1408</v>
      </c>
      <c r="D23" s="2" t="s">
        <v>1431</v>
      </c>
      <c r="J23" s="3">
        <v>1.3678472222222222</v>
      </c>
      <c r="K23" s="3">
        <v>8.9525462962962959E-2</v>
      </c>
    </row>
    <row r="24" spans="1:11" x14ac:dyDescent="0.2">
      <c r="A24" s="2" t="s">
        <v>1432</v>
      </c>
      <c r="B24" s="2" t="s">
        <v>1407</v>
      </c>
      <c r="C24" s="2" t="s">
        <v>1408</v>
      </c>
      <c r="D24" s="2" t="s">
        <v>1433</v>
      </c>
      <c r="J24" s="3">
        <v>0.97672453703703699</v>
      </c>
      <c r="K24" s="3">
        <v>0.10787037037037037</v>
      </c>
    </row>
    <row r="25" spans="1:11" x14ac:dyDescent="0.2">
      <c r="A25" s="2" t="s">
        <v>1434</v>
      </c>
      <c r="B25" s="2" t="s">
        <v>1407</v>
      </c>
      <c r="C25" s="2" t="s">
        <v>1408</v>
      </c>
      <c r="D25" s="2" t="s">
        <v>1435</v>
      </c>
      <c r="J25" s="3">
        <v>0.66740740740740745</v>
      </c>
      <c r="K25" s="3">
        <v>0.10460648148148148</v>
      </c>
    </row>
    <row r="26" spans="1:11" x14ac:dyDescent="0.2">
      <c r="A26" s="2" t="s">
        <v>1436</v>
      </c>
      <c r="B26" s="2" t="s">
        <v>1407</v>
      </c>
      <c r="C26" s="2" t="s">
        <v>1408</v>
      </c>
      <c r="D26" s="2" t="s">
        <v>1437</v>
      </c>
      <c r="J26" s="3">
        <v>2.3451273148148148</v>
      </c>
      <c r="K26" s="3">
        <v>0.31540509259259258</v>
      </c>
    </row>
    <row r="27" spans="1:11" x14ac:dyDescent="0.2">
      <c r="A27" s="2" t="s">
        <v>1438</v>
      </c>
      <c r="B27" s="2" t="s">
        <v>1407</v>
      </c>
      <c r="C27" s="2" t="s">
        <v>1408</v>
      </c>
      <c r="D27" s="2" t="s">
        <v>1439</v>
      </c>
      <c r="J27" s="3">
        <v>1.5671296296296295</v>
      </c>
      <c r="K27" s="3">
        <v>0.1560300925925926</v>
      </c>
    </row>
    <row r="28" spans="1:11" x14ac:dyDescent="0.2">
      <c r="A28" s="2" t="s">
        <v>1440</v>
      </c>
      <c r="B28" s="2" t="s">
        <v>1407</v>
      </c>
      <c r="C28" s="2" t="s">
        <v>1408</v>
      </c>
      <c r="D28" s="2" t="s">
        <v>1441</v>
      </c>
      <c r="J28" s="3">
        <v>1.1995833333333332</v>
      </c>
      <c r="K28" s="3">
        <v>0.18899305555555557</v>
      </c>
    </row>
    <row r="29" spans="1:11" x14ac:dyDescent="0.2">
      <c r="A29" s="2" t="s">
        <v>1442</v>
      </c>
      <c r="B29" s="2" t="s">
        <v>1407</v>
      </c>
      <c r="C29" s="2" t="s">
        <v>1408</v>
      </c>
      <c r="D29" s="2" t="s">
        <v>1443</v>
      </c>
      <c r="J29" s="3">
        <v>0.70063657407407409</v>
      </c>
      <c r="K29" s="3">
        <v>0.2439699074074074</v>
      </c>
    </row>
    <row r="30" spans="1:11" x14ac:dyDescent="0.2">
      <c r="A30" s="2" t="s">
        <v>1444</v>
      </c>
      <c r="B30" s="2" t="s">
        <v>1407</v>
      </c>
      <c r="C30" s="2" t="s">
        <v>1408</v>
      </c>
      <c r="D30" s="2" t="s">
        <v>1445</v>
      </c>
      <c r="J30" s="3">
        <v>2.4384722222222224</v>
      </c>
      <c r="K30" s="3">
        <v>0.11869212962962963</v>
      </c>
    </row>
    <row r="31" spans="1:11" x14ac:dyDescent="0.2">
      <c r="A31" s="2" t="s">
        <v>1446</v>
      </c>
      <c r="B31" s="2" t="s">
        <v>1407</v>
      </c>
      <c r="C31" s="2" t="s">
        <v>1408</v>
      </c>
      <c r="D31" s="2" t="s">
        <v>1447</v>
      </c>
      <c r="J31" s="3">
        <v>1.6402430555555556</v>
      </c>
      <c r="K31" s="3">
        <v>8.3576388888888895E-2</v>
      </c>
    </row>
    <row r="32" spans="1:11" x14ac:dyDescent="0.2">
      <c r="A32" s="2" t="s">
        <v>1448</v>
      </c>
      <c r="B32" s="2" t="s">
        <v>1407</v>
      </c>
      <c r="C32" s="2" t="s">
        <v>1408</v>
      </c>
      <c r="D32" s="2" t="s">
        <v>1449</v>
      </c>
      <c r="J32" s="3">
        <v>1.247488425925926</v>
      </c>
      <c r="K32" s="3">
        <v>7.9502314814814817E-2</v>
      </c>
    </row>
    <row r="33" spans="1:11" x14ac:dyDescent="0.2">
      <c r="A33" s="2" t="s">
        <v>1450</v>
      </c>
      <c r="B33" s="2" t="s">
        <v>1407</v>
      </c>
      <c r="C33" s="2" t="s">
        <v>1408</v>
      </c>
      <c r="D33" s="2" t="s">
        <v>1451</v>
      </c>
      <c r="J33" s="3">
        <v>0.74722222222222223</v>
      </c>
      <c r="K33" s="3">
        <v>7.3819444444444438E-2</v>
      </c>
    </row>
    <row r="34" spans="1:11" x14ac:dyDescent="0.2">
      <c r="A34" s="2" t="s">
        <v>1452</v>
      </c>
      <c r="B34" s="2" t="s">
        <v>1407</v>
      </c>
      <c r="C34" s="2" t="s">
        <v>1408</v>
      </c>
      <c r="D34" s="2" t="s">
        <v>1453</v>
      </c>
      <c r="J34" s="3">
        <v>1.5422222222222222</v>
      </c>
      <c r="K34" s="3">
        <v>0.12765046296296295</v>
      </c>
    </row>
    <row r="35" spans="1:11" x14ac:dyDescent="0.2">
      <c r="A35" s="2" t="s">
        <v>1454</v>
      </c>
      <c r="B35" s="2" t="s">
        <v>1407</v>
      </c>
      <c r="C35" s="2" t="s">
        <v>1408</v>
      </c>
      <c r="D35" s="2" t="s">
        <v>1455</v>
      </c>
      <c r="J35" s="3">
        <v>1.3146064814814815</v>
      </c>
      <c r="K35" s="3">
        <v>0.16199074074074074</v>
      </c>
    </row>
    <row r="36" spans="1:11" x14ac:dyDescent="0.2">
      <c r="A36" s="2" t="s">
        <v>1456</v>
      </c>
      <c r="B36" s="2" t="s">
        <v>1407</v>
      </c>
      <c r="C36" s="2" t="s">
        <v>1408</v>
      </c>
      <c r="D36" s="2" t="s">
        <v>1457</v>
      </c>
      <c r="J36" s="3">
        <v>0.765162037037037</v>
      </c>
      <c r="K36" s="3">
        <v>0.11527777777777778</v>
      </c>
    </row>
    <row r="37" spans="1:11" x14ac:dyDescent="0.2">
      <c r="A37" s="2" t="s">
        <v>1458</v>
      </c>
      <c r="B37" s="2" t="s">
        <v>1407</v>
      </c>
      <c r="C37" s="2" t="s">
        <v>1408</v>
      </c>
      <c r="D37" s="2" t="s">
        <v>886</v>
      </c>
      <c r="J37" s="3">
        <v>0.6068634259259259</v>
      </c>
      <c r="K37" s="3">
        <v>9.8159722222222218E-2</v>
      </c>
    </row>
    <row r="38" spans="1:11" x14ac:dyDescent="0.2">
      <c r="A38" s="2" t="s">
        <v>1459</v>
      </c>
      <c r="B38" s="2" t="s">
        <v>1407</v>
      </c>
      <c r="C38" s="2" t="s">
        <v>1408</v>
      </c>
      <c r="D38" s="2" t="s">
        <v>887</v>
      </c>
      <c r="J38" s="3">
        <v>2.0089004629629628</v>
      </c>
      <c r="K38" s="3">
        <v>0.17064814814814816</v>
      </c>
    </row>
    <row r="39" spans="1:11" x14ac:dyDescent="0.2">
      <c r="A39" s="2" t="s">
        <v>1460</v>
      </c>
      <c r="B39" s="2" t="s">
        <v>1407</v>
      </c>
      <c r="C39" s="2" t="s">
        <v>1408</v>
      </c>
      <c r="D39" s="2" t="s">
        <v>888</v>
      </c>
      <c r="J39" s="3">
        <v>1.5158449074074074</v>
      </c>
      <c r="K39" s="3">
        <v>0.15645833333333334</v>
      </c>
    </row>
    <row r="40" spans="1:11" x14ac:dyDescent="0.2">
      <c r="A40" s="2" t="s">
        <v>1461</v>
      </c>
      <c r="B40" s="2" t="s">
        <v>1407</v>
      </c>
      <c r="C40" s="2" t="s">
        <v>1408</v>
      </c>
      <c r="D40" s="2" t="s">
        <v>889</v>
      </c>
      <c r="J40" s="3">
        <v>1.1354745370370369</v>
      </c>
      <c r="K40" s="3">
        <v>0.15285879629629628</v>
      </c>
    </row>
    <row r="41" spans="1:11" x14ac:dyDescent="0.2">
      <c r="A41" s="2" t="s">
        <v>1462</v>
      </c>
      <c r="B41" s="2" t="s">
        <v>1407</v>
      </c>
      <c r="C41" s="2" t="s">
        <v>1408</v>
      </c>
      <c r="D41" s="2" t="s">
        <v>890</v>
      </c>
      <c r="J41" s="3">
        <v>0.6696643518518518</v>
      </c>
      <c r="K41" s="3">
        <v>0.10482638888888889</v>
      </c>
    </row>
    <row r="42" spans="1:11" x14ac:dyDescent="0.2">
      <c r="A42" s="2" t="s">
        <v>1463</v>
      </c>
      <c r="B42" s="2" t="s">
        <v>1407</v>
      </c>
      <c r="C42" s="2" t="s">
        <v>1408</v>
      </c>
      <c r="D42" s="2" t="s">
        <v>891</v>
      </c>
      <c r="J42" s="3">
        <v>2.1596064814814815</v>
      </c>
      <c r="K42" s="3">
        <v>0.33390046296296294</v>
      </c>
    </row>
    <row r="43" spans="1:11" x14ac:dyDescent="0.2">
      <c r="A43" s="2" t="s">
        <v>1464</v>
      </c>
      <c r="B43" s="2" t="s">
        <v>1407</v>
      </c>
      <c r="C43" s="2" t="s">
        <v>1408</v>
      </c>
      <c r="D43" s="2" t="s">
        <v>1465</v>
      </c>
      <c r="J43" s="3">
        <v>1.6495023148148149</v>
      </c>
      <c r="K43" s="3">
        <v>0.27041666666666669</v>
      </c>
    </row>
    <row r="44" spans="1:11" x14ac:dyDescent="0.2">
      <c r="A44" s="2" t="s">
        <v>1466</v>
      </c>
      <c r="B44" s="2" t="s">
        <v>1407</v>
      </c>
      <c r="C44" s="2" t="s">
        <v>1408</v>
      </c>
      <c r="D44" s="2" t="s">
        <v>1467</v>
      </c>
      <c r="J44" s="3">
        <v>1.4063425925925925</v>
      </c>
      <c r="K44" s="3">
        <v>0.25844907407407408</v>
      </c>
    </row>
    <row r="45" spans="1:11" x14ac:dyDescent="0.2">
      <c r="A45" s="2" t="s">
        <v>1468</v>
      </c>
      <c r="B45" s="2" t="s">
        <v>1407</v>
      </c>
      <c r="C45" s="2" t="s">
        <v>1408</v>
      </c>
      <c r="D45" s="2" t="s">
        <v>1469</v>
      </c>
      <c r="J45" s="3">
        <v>0.64804398148148146</v>
      </c>
      <c r="K45" s="3">
        <v>0.23974537037037036</v>
      </c>
    </row>
    <row r="46" spans="1:11" x14ac:dyDescent="0.2">
      <c r="A46" s="2" t="s">
        <v>1470</v>
      </c>
      <c r="B46" s="2" t="s">
        <v>1407</v>
      </c>
      <c r="C46" s="2" t="s">
        <v>1408</v>
      </c>
      <c r="D46" s="2" t="s">
        <v>1471</v>
      </c>
      <c r="J46" s="3">
        <v>2.0028356481481482</v>
      </c>
      <c r="K46" s="3">
        <v>9.8159722222222218E-2</v>
      </c>
    </row>
    <row r="47" spans="1:11" x14ac:dyDescent="0.2">
      <c r="A47" s="2" t="s">
        <v>1472</v>
      </c>
      <c r="B47" s="2" t="s">
        <v>1407</v>
      </c>
      <c r="C47" s="2" t="s">
        <v>1408</v>
      </c>
      <c r="D47" s="2" t="s">
        <v>1473</v>
      </c>
      <c r="J47" s="3">
        <v>1.5964699074074074</v>
      </c>
      <c r="K47" s="3">
        <v>7.6921296296296293E-2</v>
      </c>
    </row>
    <row r="48" spans="1:11" x14ac:dyDescent="0.2">
      <c r="A48" s="2" t="s">
        <v>1474</v>
      </c>
      <c r="B48" s="2" t="s">
        <v>1407</v>
      </c>
      <c r="C48" s="2" t="s">
        <v>1408</v>
      </c>
      <c r="D48" s="2" t="s">
        <v>1475</v>
      </c>
      <c r="J48" s="3">
        <v>1.2104166666666667</v>
      </c>
      <c r="K48" s="3">
        <v>4.9050925925925928E-2</v>
      </c>
    </row>
    <row r="49" spans="1:11" x14ac:dyDescent="0.2">
      <c r="A49" s="2" t="s">
        <v>1476</v>
      </c>
      <c r="B49" s="2" t="s">
        <v>1407</v>
      </c>
      <c r="C49" s="2" t="s">
        <v>1408</v>
      </c>
      <c r="D49" s="2" t="s">
        <v>1477</v>
      </c>
      <c r="J49" s="3">
        <v>0.94930555555555551</v>
      </c>
      <c r="K49" s="3">
        <v>6.2534722222222228E-2</v>
      </c>
    </row>
    <row r="50" spans="1:11" x14ac:dyDescent="0.2">
      <c r="A50" s="2" t="s">
        <v>1478</v>
      </c>
      <c r="B50" s="2" t="s">
        <v>1407</v>
      </c>
      <c r="C50" s="2" t="s">
        <v>1408</v>
      </c>
      <c r="D50" s="2" t="s">
        <v>1479</v>
      </c>
      <c r="J50" s="3">
        <v>1.4680324074074074</v>
      </c>
      <c r="K50" s="3">
        <v>0.10100694444444444</v>
      </c>
    </row>
    <row r="51" spans="1:11" x14ac:dyDescent="0.2">
      <c r="A51" s="2" t="s">
        <v>1480</v>
      </c>
      <c r="B51" s="2" t="s">
        <v>1407</v>
      </c>
      <c r="C51" s="2" t="s">
        <v>1408</v>
      </c>
      <c r="D51" s="2" t="s">
        <v>1481</v>
      </c>
      <c r="J51" s="3">
        <v>1.1166782407407407</v>
      </c>
      <c r="K51" s="3">
        <v>9.1770833333333329E-2</v>
      </c>
    </row>
    <row r="52" spans="1:11" x14ac:dyDescent="0.2">
      <c r="A52" s="2" t="s">
        <v>1482</v>
      </c>
      <c r="B52" s="2" t="s">
        <v>1407</v>
      </c>
      <c r="C52" s="2" t="s">
        <v>1408</v>
      </c>
      <c r="D52" s="2" t="s">
        <v>1483</v>
      </c>
      <c r="J52" s="3">
        <v>0.83578703703703705</v>
      </c>
      <c r="K52" s="3">
        <v>0.1090162037037037</v>
      </c>
    </row>
    <row r="53" spans="1:11" x14ac:dyDescent="0.2">
      <c r="A53" s="2" t="s">
        <v>1484</v>
      </c>
      <c r="B53" s="2" t="s">
        <v>1407</v>
      </c>
      <c r="C53" s="2" t="s">
        <v>1408</v>
      </c>
      <c r="D53" s="2" t="s">
        <v>1485</v>
      </c>
      <c r="J53" s="3">
        <v>0.44502314814814814</v>
      </c>
      <c r="K53" s="3">
        <v>9.7384259259259254E-2</v>
      </c>
    </row>
    <row r="54" spans="1:11" x14ac:dyDescent="0.2">
      <c r="A54" s="2" t="s">
        <v>1486</v>
      </c>
      <c r="B54" s="2" t="s">
        <v>1407</v>
      </c>
      <c r="C54" s="2" t="s">
        <v>1408</v>
      </c>
      <c r="D54" s="2" t="s">
        <v>1487</v>
      </c>
      <c r="J54" s="3">
        <v>2.1139699074074074</v>
      </c>
      <c r="K54" s="3">
        <v>7.4143518518518525E-2</v>
      </c>
    </row>
    <row r="55" spans="1:11" x14ac:dyDescent="0.2">
      <c r="A55" s="2" t="s">
        <v>1488</v>
      </c>
      <c r="B55" s="2" t="s">
        <v>1407</v>
      </c>
      <c r="C55" s="2" t="s">
        <v>1408</v>
      </c>
      <c r="D55" s="2" t="s">
        <v>1489</v>
      </c>
      <c r="J55" s="3">
        <v>1.9152662037037036</v>
      </c>
      <c r="K55" s="3">
        <v>0.13878472222222221</v>
      </c>
    </row>
    <row r="56" spans="1:11" x14ac:dyDescent="0.2">
      <c r="A56" s="2" t="s">
        <v>1490</v>
      </c>
      <c r="B56" s="2" t="s">
        <v>1407</v>
      </c>
      <c r="C56" s="2" t="s">
        <v>1408</v>
      </c>
      <c r="D56" s="2" t="s">
        <v>1491</v>
      </c>
      <c r="J56" s="3">
        <v>1.6208101851851853</v>
      </c>
      <c r="K56" s="3">
        <v>0.14951388888888889</v>
      </c>
    </row>
    <row r="57" spans="1:11" x14ac:dyDescent="0.2">
      <c r="A57" s="2" t="s">
        <v>1492</v>
      </c>
      <c r="B57" s="2" t="s">
        <v>1407</v>
      </c>
      <c r="C57" s="2" t="s">
        <v>1408</v>
      </c>
      <c r="D57" s="2" t="s">
        <v>1493</v>
      </c>
      <c r="J57" s="3">
        <v>0.65839120370370374</v>
      </c>
      <c r="K57" s="3">
        <v>0.10127314814814815</v>
      </c>
    </row>
    <row r="58" spans="1:11" x14ac:dyDescent="0.2">
      <c r="A58" s="2" t="s">
        <v>1494</v>
      </c>
      <c r="B58" s="2" t="s">
        <v>1407</v>
      </c>
      <c r="C58" s="2" t="s">
        <v>1408</v>
      </c>
      <c r="D58" s="2" t="s">
        <v>1495</v>
      </c>
      <c r="J58" s="3">
        <v>1.0789120370370371</v>
      </c>
      <c r="K58" s="3">
        <v>3.472222222222222E-3</v>
      </c>
    </row>
    <row r="59" spans="1:11" x14ac:dyDescent="0.2">
      <c r="A59" s="2" t="s">
        <v>1496</v>
      </c>
      <c r="B59" s="2" t="s">
        <v>1407</v>
      </c>
      <c r="C59" s="2" t="s">
        <v>1408</v>
      </c>
      <c r="D59" s="2" t="s">
        <v>1497</v>
      </c>
      <c r="J59" s="3">
        <v>0.88918981481481485</v>
      </c>
      <c r="K59" s="3">
        <v>3.472222222222222E-3</v>
      </c>
    </row>
    <row r="60" spans="1:11" x14ac:dyDescent="0.2">
      <c r="A60" s="2" t="s">
        <v>1498</v>
      </c>
      <c r="B60" s="2" t="s">
        <v>1407</v>
      </c>
      <c r="C60" s="2" t="s">
        <v>1408</v>
      </c>
      <c r="D60" s="2" t="s">
        <v>1499</v>
      </c>
      <c r="J60" s="3">
        <v>0.59608796296296296</v>
      </c>
      <c r="K60" s="3">
        <v>3.472222222222222E-3</v>
      </c>
    </row>
    <row r="61" spans="1:11" x14ac:dyDescent="0.2">
      <c r="A61" s="2" t="s">
        <v>1500</v>
      </c>
      <c r="B61" s="2" t="s">
        <v>1407</v>
      </c>
      <c r="C61" s="2" t="s">
        <v>1408</v>
      </c>
      <c r="D61" s="2" t="s">
        <v>1501</v>
      </c>
      <c r="J61" s="3">
        <v>0.31549768518518517</v>
      </c>
      <c r="K61" s="3">
        <v>3.472222222222222E-3</v>
      </c>
    </row>
  </sheetData>
  <phoneticPr fontId="15" type="noConversion"/>
  <pageMargins left="0.75" right="0.75" top="1" bottom="1" header="0.5" footer="0.5"/>
  <pageSetup fitToHeight="100" orientation="landscape"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0"/>
  <sheetViews>
    <sheetView showGridLines="0" workbookViewId="0"/>
  </sheetViews>
  <sheetFormatPr defaultColWidth="8.85546875" defaultRowHeight="12.75" x14ac:dyDescent="0.2"/>
  <cols>
    <col min="1" max="3" width="25.42578125" customWidth="1"/>
    <col min="4" max="4" width="20.42578125" bestFit="1" customWidth="1"/>
    <col min="5" max="19" width="8.42578125" customWidth="1"/>
    <col min="20" max="20" width="1.42578125" customWidth="1"/>
    <col min="21" max="22" width="17.42578125" customWidth="1"/>
  </cols>
  <sheetData>
    <row r="1" spans="1:21" s="32" customFormat="1" ht="25.5" customHeight="1" x14ac:dyDescent="0.45">
      <c r="A1" s="31" t="s">
        <v>1502</v>
      </c>
      <c r="C1" s="33">
        <f>Data!B2</f>
        <v>46074.959041168979</v>
      </c>
      <c r="E1" s="33"/>
      <c r="G1" s="33"/>
      <c r="H1" s="34"/>
      <c r="I1" s="35"/>
    </row>
    <row r="2" spans="1:21" s="13" customFormat="1" ht="25.5" customHeight="1" x14ac:dyDescent="0.5">
      <c r="A2" s="30" t="str">
        <f>Data!B1</f>
        <v>Sanjaya ( Demo Database)</v>
      </c>
      <c r="B2" s="12"/>
      <c r="C2" s="17"/>
      <c r="D2" s="17"/>
      <c r="E2" s="17"/>
      <c r="F2" s="22"/>
    </row>
    <row r="3" spans="1:21" s="14" customFormat="1" ht="17.45" customHeight="1" x14ac:dyDescent="0.3">
      <c r="C3" s="18"/>
      <c r="D3" s="18"/>
      <c r="E3" s="49"/>
      <c r="F3" s="52" t="s">
        <v>1503</v>
      </c>
      <c r="G3" s="52"/>
      <c r="H3" s="52"/>
      <c r="I3" s="52"/>
      <c r="J3" s="52"/>
      <c r="K3" s="52"/>
      <c r="L3" s="52"/>
      <c r="M3" s="52"/>
      <c r="N3" s="52"/>
      <c r="O3" s="52"/>
      <c r="P3" s="52"/>
      <c r="Q3" s="52"/>
      <c r="R3" s="52"/>
      <c r="S3" s="52"/>
      <c r="T3" s="55"/>
    </row>
    <row r="4" spans="1:21" s="14" customFormat="1" ht="17.45" customHeight="1" x14ac:dyDescent="0.3">
      <c r="A4" s="48" t="s">
        <v>593</v>
      </c>
      <c r="B4" s="48"/>
      <c r="C4" s="19"/>
      <c r="D4" s="18"/>
      <c r="E4" s="50"/>
      <c r="F4" s="53"/>
      <c r="G4" s="53"/>
      <c r="H4" s="53"/>
      <c r="I4" s="53"/>
      <c r="J4" s="53"/>
      <c r="K4" s="53"/>
      <c r="L4" s="53"/>
      <c r="M4" s="53"/>
      <c r="N4" s="53"/>
      <c r="O4" s="53"/>
      <c r="P4" s="53"/>
      <c r="Q4" s="53"/>
      <c r="R4" s="53"/>
      <c r="S4" s="53"/>
      <c r="T4" s="56"/>
      <c r="U4" s="41" t="s">
        <v>1504</v>
      </c>
    </row>
    <row r="5" spans="1:21" s="14" customFormat="1" ht="17.45" customHeight="1" x14ac:dyDescent="0.3">
      <c r="A5" s="27" t="s">
        <v>1505</v>
      </c>
      <c r="B5" s="29">
        <f>Data!B3</f>
        <v>45678</v>
      </c>
      <c r="C5" s="19"/>
      <c r="D5" s="18"/>
      <c r="E5" s="50"/>
      <c r="F5" s="53"/>
      <c r="G5" s="53"/>
      <c r="H5" s="53"/>
      <c r="I5" s="53"/>
      <c r="J5" s="53"/>
      <c r="K5" s="53"/>
      <c r="L5" s="53"/>
      <c r="M5" s="53"/>
      <c r="N5" s="53"/>
      <c r="O5" s="53"/>
      <c r="P5" s="53"/>
      <c r="Q5" s="53"/>
      <c r="R5" s="53"/>
      <c r="S5" s="53"/>
      <c r="T5" s="56"/>
      <c r="U5" s="41" t="s">
        <v>1506</v>
      </c>
    </row>
    <row r="6" spans="1:21" s="14" customFormat="1" ht="17.45" customHeight="1" x14ac:dyDescent="0.3">
      <c r="A6" s="27" t="s">
        <v>1507</v>
      </c>
      <c r="B6" s="29">
        <f>Data!B4</f>
        <v>46074.999988425923</v>
      </c>
      <c r="C6" s="19"/>
      <c r="D6" s="18"/>
      <c r="E6" s="50"/>
      <c r="F6" s="53"/>
      <c r="G6" s="53"/>
      <c r="H6" s="53"/>
      <c r="I6" s="53"/>
      <c r="J6" s="53"/>
      <c r="K6" s="53"/>
      <c r="L6" s="53"/>
      <c r="M6" s="53"/>
      <c r="N6" s="53"/>
      <c r="O6" s="53"/>
      <c r="P6" s="53"/>
      <c r="Q6" s="53"/>
      <c r="R6" s="53"/>
      <c r="S6" s="53"/>
      <c r="T6" s="56"/>
      <c r="U6" s="41"/>
    </row>
    <row r="7" spans="1:21" s="14" customFormat="1" ht="17.45" customHeight="1" x14ac:dyDescent="0.3">
      <c r="A7" s="27" t="s">
        <v>1508</v>
      </c>
      <c r="B7" s="28">
        <f>B6-B5</f>
        <v>396.99998842592322</v>
      </c>
      <c r="C7" s="19"/>
      <c r="D7" s="18"/>
      <c r="E7" s="51"/>
      <c r="F7" s="54"/>
      <c r="G7" s="54"/>
      <c r="H7" s="54"/>
      <c r="I7" s="54"/>
      <c r="J7" s="54"/>
      <c r="K7" s="54"/>
      <c r="L7" s="54"/>
      <c r="M7" s="54"/>
      <c r="N7" s="54"/>
      <c r="O7" s="54"/>
      <c r="P7" s="54"/>
      <c r="Q7" s="54"/>
      <c r="R7" s="54"/>
      <c r="S7" s="54"/>
      <c r="T7" s="57"/>
      <c r="U7" s="41"/>
    </row>
    <row r="8" spans="1:21" s="6" customFormat="1" ht="17.45" customHeight="1" x14ac:dyDescent="0.3">
      <c r="F8" s="37"/>
      <c r="G8" s="37"/>
      <c r="H8" s="37"/>
      <c r="I8" s="37"/>
      <c r="J8" s="37"/>
      <c r="K8" s="37"/>
      <c r="L8" s="37"/>
      <c r="M8" s="37"/>
      <c r="N8" s="37"/>
      <c r="O8" s="37"/>
      <c r="P8" s="37"/>
      <c r="Q8" s="37"/>
      <c r="R8" s="37"/>
      <c r="S8" s="37"/>
      <c r="U8" s="46"/>
    </row>
    <row r="9" spans="1:21" s="36" customFormat="1" ht="17.25" x14ac:dyDescent="0.3">
      <c r="A9" s="44" t="s">
        <v>304</v>
      </c>
      <c r="B9" s="45" t="s">
        <v>1509</v>
      </c>
      <c r="C9" s="45" t="s">
        <v>1506</v>
      </c>
    </row>
    <row r="10" spans="1:21" ht="16.5" x14ac:dyDescent="0.3">
      <c r="A10" s="42" t="s">
        <v>1514</v>
      </c>
      <c r="B10" s="43">
        <v>0.33390046296296294</v>
      </c>
      <c r="C10" s="47">
        <v>0.13390797395086312</v>
      </c>
    </row>
    <row r="11" spans="1:21" ht="16.5" x14ac:dyDescent="0.3">
      <c r="A11" s="42" t="s">
        <v>1515</v>
      </c>
      <c r="B11" s="43">
        <v>0.31540509259259258</v>
      </c>
      <c r="C11" s="47">
        <v>0.11854961499978249</v>
      </c>
    </row>
    <row r="12" spans="1:21" ht="16.5" x14ac:dyDescent="0.3">
      <c r="A12" s="42" t="s">
        <v>1516</v>
      </c>
      <c r="B12" s="43">
        <v>0.27041666666666669</v>
      </c>
      <c r="C12" s="47">
        <v>0.14084795727057348</v>
      </c>
    </row>
    <row r="13" spans="1:21" ht="16.5" x14ac:dyDescent="0.3">
      <c r="A13" s="42" t="s">
        <v>1517</v>
      </c>
      <c r="B13" s="43">
        <v>0.25844907407407408</v>
      </c>
      <c r="C13" s="47">
        <v>0.15524409405025097</v>
      </c>
    </row>
    <row r="14" spans="1:21" ht="16.5" x14ac:dyDescent="0.3">
      <c r="A14" s="42" t="s">
        <v>1518</v>
      </c>
      <c r="B14" s="43">
        <v>0.2439699074074074</v>
      </c>
      <c r="C14" s="47">
        <v>0.25827676624108609</v>
      </c>
    </row>
    <row r="15" spans="1:21" ht="16.5" x14ac:dyDescent="0.3">
      <c r="A15" s="42" t="s">
        <v>1519</v>
      </c>
      <c r="B15" s="43">
        <v>0.23974537037037036</v>
      </c>
      <c r="C15" s="47">
        <v>0.27004758490320058</v>
      </c>
    </row>
    <row r="16" spans="1:21" ht="16.5" x14ac:dyDescent="0.3">
      <c r="A16" s="42" t="s">
        <v>1520</v>
      </c>
      <c r="B16" s="43">
        <v>0.18899305555555557</v>
      </c>
      <c r="C16" s="47">
        <v>0.13610562376534724</v>
      </c>
    </row>
    <row r="17" spans="1:3" ht="16.5" x14ac:dyDescent="0.3">
      <c r="A17" s="42" t="s">
        <v>1521</v>
      </c>
      <c r="B17" s="43">
        <v>0.17064814814814816</v>
      </c>
      <c r="C17" s="47">
        <v>7.8295178771513388E-2</v>
      </c>
    </row>
    <row r="18" spans="1:3" ht="16.5" x14ac:dyDescent="0.3">
      <c r="A18" s="42" t="s">
        <v>1522</v>
      </c>
      <c r="B18" s="43">
        <v>0.16199074074074074</v>
      </c>
      <c r="C18" s="47">
        <v>0.10970543510636629</v>
      </c>
    </row>
    <row r="19" spans="1:3" ht="16.5" x14ac:dyDescent="0.3">
      <c r="A19" s="42" t="s">
        <v>1523</v>
      </c>
      <c r="B19" s="43">
        <v>0.15645833333333334</v>
      </c>
      <c r="C19" s="47">
        <v>9.355859004616332E-2</v>
      </c>
    </row>
    <row r="20" spans="1:3" ht="16.5" x14ac:dyDescent="0.3">
      <c r="A20" s="42" t="s">
        <v>1524</v>
      </c>
      <c r="B20" s="43">
        <v>0.1560300925925926</v>
      </c>
      <c r="C20" s="47">
        <v>9.0548827587133354E-2</v>
      </c>
    </row>
    <row r="21" spans="1:3" ht="16.5" x14ac:dyDescent="0.3">
      <c r="A21" s="42" t="s">
        <v>1525</v>
      </c>
      <c r="B21" s="43">
        <v>0.15285879629629628</v>
      </c>
      <c r="C21" s="47">
        <v>0.11864848354175651</v>
      </c>
    </row>
    <row r="22" spans="1:3" ht="16.5" x14ac:dyDescent="0.3">
      <c r="A22" s="42" t="s">
        <v>1526</v>
      </c>
      <c r="B22" s="43">
        <v>0.14951388888888889</v>
      </c>
      <c r="C22" s="47">
        <v>8.4455660451371636E-2</v>
      </c>
    </row>
    <row r="23" spans="1:3" ht="16.5" x14ac:dyDescent="0.3">
      <c r="A23" s="42" t="s">
        <v>1527</v>
      </c>
      <c r="B23" s="43">
        <v>0.13878472222222221</v>
      </c>
      <c r="C23" s="47">
        <v>6.7566349242125429E-2</v>
      </c>
    </row>
    <row r="24" spans="1:3" ht="16.5" x14ac:dyDescent="0.3">
      <c r="A24" s="42" t="s">
        <v>1528</v>
      </c>
      <c r="B24" s="43">
        <v>0.13670138888888889</v>
      </c>
      <c r="C24" s="47">
        <v>6.2292332521122748E-2</v>
      </c>
    </row>
    <row r="25" spans="1:3" ht="16.5" x14ac:dyDescent="0.3">
      <c r="A25" s="42" t="s">
        <v>1529</v>
      </c>
      <c r="B25" s="43">
        <v>0.12765046296296295</v>
      </c>
      <c r="C25" s="47">
        <v>7.6443230729776754E-2</v>
      </c>
    </row>
    <row r="26" spans="1:3" ht="16.5" x14ac:dyDescent="0.3">
      <c r="A26" s="42" t="s">
        <v>1530</v>
      </c>
      <c r="B26" s="43">
        <v>0.11869212962962963</v>
      </c>
      <c r="C26" s="47">
        <v>4.6415526457528999E-2</v>
      </c>
    </row>
    <row r="27" spans="1:3" ht="16.5" x14ac:dyDescent="0.3">
      <c r="A27" s="42" t="s">
        <v>1531</v>
      </c>
      <c r="B27" s="43">
        <v>0.11776620370370371</v>
      </c>
      <c r="C27" s="47">
        <v>0.10735727022378848</v>
      </c>
    </row>
    <row r="28" spans="1:3" ht="16.5" x14ac:dyDescent="0.3">
      <c r="A28" s="42" t="s">
        <v>1532</v>
      </c>
      <c r="B28" s="43">
        <v>0.11527777777777778</v>
      </c>
      <c r="C28" s="47">
        <v>0.13093203628237152</v>
      </c>
    </row>
    <row r="29" spans="1:3" ht="16.5" x14ac:dyDescent="0.3">
      <c r="A29" s="42" t="s">
        <v>1533</v>
      </c>
      <c r="B29" s="43">
        <v>0.11328703703703703</v>
      </c>
      <c r="C29" s="47">
        <v>9.249931485489099E-2</v>
      </c>
    </row>
    <row r="30" spans="1:3" ht="16.5" x14ac:dyDescent="0.3">
      <c r="A30" s="42" t="s">
        <v>1534</v>
      </c>
      <c r="B30" s="43">
        <v>0.10907407407407407</v>
      </c>
      <c r="C30" s="47">
        <v>5.6170801196848141E-2</v>
      </c>
    </row>
    <row r="31" spans="1:3" ht="16.5" x14ac:dyDescent="0.3">
      <c r="A31" s="42" t="s">
        <v>1535</v>
      </c>
      <c r="B31" s="43">
        <v>0.10905092592592593</v>
      </c>
      <c r="C31" s="47">
        <v>0.12686145146088595</v>
      </c>
    </row>
    <row r="32" spans="1:3" ht="16.5" x14ac:dyDescent="0.3">
      <c r="A32" s="42" t="s">
        <v>1536</v>
      </c>
      <c r="B32" s="43">
        <v>0.1090162037037037</v>
      </c>
      <c r="C32" s="47">
        <v>0.11538508654800259</v>
      </c>
    </row>
    <row r="33" spans="1:3" ht="16.5" x14ac:dyDescent="0.3">
      <c r="A33" s="42" t="s">
        <v>1537</v>
      </c>
      <c r="B33" s="43">
        <v>0.10787037037037037</v>
      </c>
      <c r="C33" s="47">
        <v>9.9456829119935128E-2</v>
      </c>
    </row>
    <row r="34" spans="1:3" ht="16.5" x14ac:dyDescent="0.3">
      <c r="A34" s="42" t="s">
        <v>1538</v>
      </c>
      <c r="B34" s="43">
        <v>0.10482638888888889</v>
      </c>
      <c r="C34" s="47">
        <v>0.13534879550481202</v>
      </c>
    </row>
    <row r="35" spans="1:3" ht="16.5" x14ac:dyDescent="0.3">
      <c r="A35" s="42" t="s">
        <v>1539</v>
      </c>
      <c r="B35" s="43">
        <v>0.10460648148148148</v>
      </c>
      <c r="C35" s="47">
        <v>0.13549818596144045</v>
      </c>
    </row>
    <row r="36" spans="1:3" ht="16.5" x14ac:dyDescent="0.3">
      <c r="A36" s="42" t="s">
        <v>1540</v>
      </c>
      <c r="B36" s="43">
        <v>0.10230324074074074</v>
      </c>
      <c r="C36" s="47">
        <v>7.4567434640660721E-2</v>
      </c>
    </row>
    <row r="37" spans="1:3" ht="16.5" x14ac:dyDescent="0.3">
      <c r="A37" s="42" t="s">
        <v>1541</v>
      </c>
      <c r="B37" s="43">
        <v>0.10222222222222223</v>
      </c>
      <c r="C37" s="47">
        <v>5.9007456105187213E-2</v>
      </c>
    </row>
    <row r="38" spans="1:3" ht="16.5" x14ac:dyDescent="0.3">
      <c r="A38" s="42" t="s">
        <v>1542</v>
      </c>
      <c r="B38" s="43">
        <v>0.10200231481481481</v>
      </c>
      <c r="C38" s="47">
        <v>5.9183796815504765E-2</v>
      </c>
    </row>
    <row r="39" spans="1:3" ht="16.5" x14ac:dyDescent="0.3">
      <c r="A39" s="42" t="s">
        <v>1543</v>
      </c>
      <c r="B39" s="43">
        <v>0.10127314814814815</v>
      </c>
      <c r="C39" s="47">
        <v>0.13331301896853812</v>
      </c>
    </row>
    <row r="40" spans="1:3" ht="16.5" x14ac:dyDescent="0.3">
      <c r="A40" s="42" t="s">
        <v>1544</v>
      </c>
      <c r="B40" s="43">
        <v>0.10100694444444444</v>
      </c>
      <c r="C40" s="47">
        <v>6.4375023051672628E-2</v>
      </c>
    </row>
    <row r="41" spans="1:3" ht="16.5" x14ac:dyDescent="0.3">
      <c r="A41" s="42" t="s">
        <v>1545</v>
      </c>
      <c r="B41" s="43">
        <v>9.8159722222222218E-2</v>
      </c>
      <c r="C41" s="47">
        <v>0.13922907705946086</v>
      </c>
    </row>
    <row r="42" spans="1:3" ht="16.5" x14ac:dyDescent="0.3">
      <c r="A42" s="42" t="s">
        <v>1546</v>
      </c>
      <c r="B42" s="43">
        <v>9.8159722222222218E-2</v>
      </c>
      <c r="C42" s="47">
        <v>4.6720579972015022E-2</v>
      </c>
    </row>
    <row r="43" spans="1:3" ht="16.5" x14ac:dyDescent="0.3">
      <c r="A43" s="42" t="s">
        <v>1547</v>
      </c>
      <c r="B43" s="43">
        <v>9.7384259259259254E-2</v>
      </c>
      <c r="C43" s="47">
        <v>0.17954079890747693</v>
      </c>
    </row>
    <row r="44" spans="1:3" ht="16.5" x14ac:dyDescent="0.3">
      <c r="A44" s="42" t="s">
        <v>1548</v>
      </c>
      <c r="B44" s="43">
        <v>9.1770833333333329E-2</v>
      </c>
      <c r="C44" s="47">
        <v>7.5941001819749068E-2</v>
      </c>
    </row>
    <row r="45" spans="1:3" ht="16.5" x14ac:dyDescent="0.3">
      <c r="A45" s="42" t="s">
        <v>1549</v>
      </c>
      <c r="B45" s="43">
        <v>8.9525462962962959E-2</v>
      </c>
      <c r="C45" s="47">
        <v>6.1429354257169402E-2</v>
      </c>
    </row>
    <row r="46" spans="1:3" ht="16.5" x14ac:dyDescent="0.3">
      <c r="A46" s="42" t="s">
        <v>1550</v>
      </c>
      <c r="B46" s="43">
        <v>8.3576388888888895E-2</v>
      </c>
      <c r="C46" s="47">
        <v>4.8483261491358821E-2</v>
      </c>
    </row>
    <row r="47" spans="1:3" ht="16.5" x14ac:dyDescent="0.3">
      <c r="A47" s="42" t="s">
        <v>1551</v>
      </c>
      <c r="B47" s="43">
        <v>8.2800925925925931E-2</v>
      </c>
      <c r="C47" s="47">
        <v>7.9254647375534532E-2</v>
      </c>
    </row>
    <row r="48" spans="1:3" ht="16.5" x14ac:dyDescent="0.3">
      <c r="A48" s="42" t="s">
        <v>1552</v>
      </c>
      <c r="B48" s="43">
        <v>7.9502314814814817E-2</v>
      </c>
      <c r="C48" s="47">
        <v>5.9911732896068097E-2</v>
      </c>
    </row>
    <row r="49" spans="1:3" ht="16.5" x14ac:dyDescent="0.3">
      <c r="A49" s="42" t="s">
        <v>1553</v>
      </c>
      <c r="B49" s="43">
        <v>7.6921296296296293E-2</v>
      </c>
      <c r="C49" s="47">
        <v>4.596731244077714E-2</v>
      </c>
    </row>
    <row r="50" spans="1:3" ht="16.5" x14ac:dyDescent="0.3">
      <c r="A50" s="42" t="s">
        <v>1554</v>
      </c>
      <c r="B50" s="43">
        <v>7.4432870370370371E-2</v>
      </c>
      <c r="C50" s="47">
        <v>0.1215965814551505</v>
      </c>
    </row>
    <row r="51" spans="1:3" ht="16.5" x14ac:dyDescent="0.3">
      <c r="A51" s="42" t="s">
        <v>1555</v>
      </c>
      <c r="B51" s="43">
        <v>7.4143518518518525E-2</v>
      </c>
      <c r="C51" s="47">
        <v>3.3884677841663449E-2</v>
      </c>
    </row>
    <row r="52" spans="1:3" ht="16.5" x14ac:dyDescent="0.3">
      <c r="A52" s="42" t="s">
        <v>1556</v>
      </c>
      <c r="B52" s="43">
        <v>7.3819444444444438E-2</v>
      </c>
      <c r="C52" s="47">
        <v>8.990949843525331E-2</v>
      </c>
    </row>
    <row r="53" spans="1:3" ht="16.5" x14ac:dyDescent="0.3">
      <c r="A53" s="42" t="s">
        <v>1557</v>
      </c>
      <c r="B53" s="43">
        <v>6.4097222222222222E-2</v>
      </c>
      <c r="C53" s="47">
        <v>0.13096223425639084</v>
      </c>
    </row>
    <row r="54" spans="1:3" ht="16.5" x14ac:dyDescent="0.3">
      <c r="A54" s="42" t="s">
        <v>1558</v>
      </c>
      <c r="B54" s="43">
        <v>6.2534722222222228E-2</v>
      </c>
      <c r="C54" s="47">
        <v>6.180295803163928E-2</v>
      </c>
    </row>
    <row r="55" spans="1:3" ht="16.5" x14ac:dyDescent="0.3">
      <c r="A55" s="42" t="s">
        <v>1559</v>
      </c>
      <c r="B55" s="43">
        <v>4.9050925925925928E-2</v>
      </c>
      <c r="C55" s="47">
        <v>3.8945762649561656E-2</v>
      </c>
    </row>
    <row r="56" spans="1:3" ht="16.5" x14ac:dyDescent="0.3">
      <c r="A56" s="42" t="s">
        <v>1560</v>
      </c>
      <c r="B56" s="43">
        <v>3.472222222222222E-3</v>
      </c>
      <c r="C56" s="47">
        <v>1.08857360571864E-2</v>
      </c>
    </row>
    <row r="57" spans="1:3" ht="16.5" x14ac:dyDescent="0.3">
      <c r="A57" s="42" t="s">
        <v>1561</v>
      </c>
      <c r="B57" s="43">
        <v>3.472222222222222E-3</v>
      </c>
      <c r="C57" s="47">
        <v>5.7912821898768382E-3</v>
      </c>
    </row>
    <row r="58" spans="1:3" ht="16.5" x14ac:dyDescent="0.3">
      <c r="A58" s="42" t="s">
        <v>1562</v>
      </c>
      <c r="B58" s="43">
        <v>3.472222222222222E-3</v>
      </c>
      <c r="C58" s="47">
        <v>3.8897388688639368E-3</v>
      </c>
    </row>
    <row r="59" spans="1:3" ht="16.5" x14ac:dyDescent="0.3">
      <c r="A59" s="42" t="s">
        <v>1563</v>
      </c>
      <c r="B59" s="43">
        <v>3.472222222222222E-3</v>
      </c>
      <c r="C59" s="47">
        <v>3.2079385786693464E-3</v>
      </c>
    </row>
    <row r="60" spans="1:3" ht="16.5" x14ac:dyDescent="0.3">
      <c r="A60" s="42" t="s">
        <v>0</v>
      </c>
      <c r="B60" s="43">
        <v>6.0295601851851837</v>
      </c>
      <c r="C60" s="47">
        <v>9.3364398099087365E-2</v>
      </c>
    </row>
  </sheetData>
  <mergeCells count="4">
    <mergeCell ref="A4:B4"/>
    <mergeCell ref="E3:E7"/>
    <mergeCell ref="F3:S7"/>
    <mergeCell ref="T3:T7"/>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9"/>
  <sheetViews>
    <sheetView showGridLines="0" workbookViewId="0">
      <pane ySplit="9" topLeftCell="A10" activePane="bottomLeft" state="frozen"/>
      <selection pane="bottomLeft"/>
    </sheetView>
  </sheetViews>
  <sheetFormatPr defaultColWidth="9.140625" defaultRowHeight="14.25" x14ac:dyDescent="0.25"/>
  <cols>
    <col min="1" max="2" width="25.42578125" style="16" customWidth="1"/>
    <col min="3" max="4" width="25.42578125" style="16" hidden="1" customWidth="1"/>
    <col min="5" max="5" width="28.42578125" style="21" customWidth="1"/>
    <col min="6" max="7" width="25.42578125" style="21" customWidth="1"/>
    <col min="8" max="8" width="6.140625" style="21" hidden="1" customWidth="1"/>
    <col min="9" max="9" width="25.42578125" style="26" customWidth="1"/>
    <col min="10" max="16384" width="9.140625" style="16"/>
  </cols>
  <sheetData>
    <row r="1" spans="1:9" s="32" customFormat="1" ht="25.5" customHeight="1" x14ac:dyDescent="0.45">
      <c r="A1" s="31" t="s">
        <v>1502</v>
      </c>
      <c r="E1" s="33">
        <f>Data!B2</f>
        <v>46074.959041168979</v>
      </c>
      <c r="G1" s="33"/>
      <c r="H1" s="33"/>
    </row>
    <row r="2" spans="1:9" s="13" customFormat="1" ht="25.5" customHeight="1" x14ac:dyDescent="0.5">
      <c r="A2" s="30" t="str">
        <f>Data!B1</f>
        <v>Sanjaya ( Demo Database)</v>
      </c>
      <c r="B2" s="12"/>
      <c r="C2" s="12"/>
      <c r="D2" s="12"/>
      <c r="E2" s="17"/>
      <c r="F2" s="17"/>
      <c r="G2" s="17"/>
      <c r="H2" s="17"/>
      <c r="I2" s="22"/>
    </row>
    <row r="3" spans="1:9" s="14" customFormat="1" ht="17.45" customHeight="1" x14ac:dyDescent="0.3">
      <c r="E3" s="18"/>
      <c r="F3" s="18"/>
      <c r="G3" s="18"/>
      <c r="H3" s="18"/>
      <c r="I3" s="23"/>
    </row>
    <row r="4" spans="1:9" s="14" customFormat="1" ht="17.45" customHeight="1" x14ac:dyDescent="0.3">
      <c r="A4" s="48" t="s">
        <v>593</v>
      </c>
      <c r="B4" s="48"/>
      <c r="C4" s="38"/>
      <c r="D4" s="38"/>
      <c r="E4" s="19"/>
      <c r="F4" s="18"/>
      <c r="G4" s="18"/>
      <c r="H4" s="18"/>
      <c r="I4" s="23"/>
    </row>
    <row r="5" spans="1:9" s="14" customFormat="1" ht="17.45" customHeight="1" x14ac:dyDescent="0.3">
      <c r="A5" s="27" t="s">
        <v>1505</v>
      </c>
      <c r="B5" s="29">
        <f>Data!B3</f>
        <v>45678</v>
      </c>
      <c r="C5" s="39"/>
      <c r="D5" s="39"/>
      <c r="E5" s="19"/>
      <c r="F5" s="18"/>
      <c r="G5" s="18"/>
      <c r="H5" s="18"/>
      <c r="I5" s="23"/>
    </row>
    <row r="6" spans="1:9" s="14" customFormat="1" ht="17.45" customHeight="1" x14ac:dyDescent="0.3">
      <c r="A6" s="27" t="s">
        <v>1507</v>
      </c>
      <c r="B6" s="29">
        <f>Data!B4</f>
        <v>46074.999988425923</v>
      </c>
      <c r="C6" s="39"/>
      <c r="D6" s="39"/>
      <c r="E6" s="19"/>
      <c r="F6" s="18"/>
      <c r="G6" s="18"/>
      <c r="H6" s="18"/>
      <c r="I6" s="23"/>
    </row>
    <row r="7" spans="1:9" s="14" customFormat="1" ht="17.45" customHeight="1" x14ac:dyDescent="0.3">
      <c r="A7" s="27" t="s">
        <v>1508</v>
      </c>
      <c r="B7" s="28">
        <f>B6-B5</f>
        <v>396.99998842592322</v>
      </c>
      <c r="C7" s="40"/>
      <c r="D7" s="40"/>
      <c r="E7" s="19"/>
      <c r="F7" s="18"/>
      <c r="G7" s="18"/>
      <c r="H7" s="18"/>
      <c r="I7" s="23"/>
    </row>
    <row r="8" spans="1:9" s="14" customFormat="1" ht="17.45" customHeight="1" x14ac:dyDescent="0.3">
      <c r="E8" s="18"/>
      <c r="F8" s="18"/>
      <c r="G8" s="18"/>
      <c r="H8" s="18"/>
      <c r="I8" s="23"/>
    </row>
    <row r="9" spans="1:9" s="10" customFormat="1" ht="18" customHeight="1" x14ac:dyDescent="0.3">
      <c r="A9" s="10" t="s">
        <v>304</v>
      </c>
      <c r="B9" s="10" t="s">
        <v>1510</v>
      </c>
      <c r="C9" s="10" t="s">
        <v>892</v>
      </c>
      <c r="D9" s="10" t="s">
        <v>893</v>
      </c>
      <c r="E9" s="11" t="s">
        <v>1511</v>
      </c>
      <c r="F9" s="11" t="s">
        <v>1504</v>
      </c>
      <c r="G9" s="11" t="s">
        <v>1512</v>
      </c>
      <c r="H9" s="11" t="s">
        <v>598</v>
      </c>
      <c r="I9" s="24" t="s">
        <v>1513</v>
      </c>
    </row>
    <row r="10" spans="1:9" ht="16.5" x14ac:dyDescent="0.3">
      <c r="A10" s="15" t="str">
        <f>CONCATENATE(Data!A12,Data!F12&amp;" "&amp;Data!G12)</f>
        <v xml:space="preserve">Demo - 01 </v>
      </c>
      <c r="B10" s="15" t="str">
        <f>CONCATENATE(Data!B12, Data!H12)</f>
        <v>Vehicle, Company Group</v>
      </c>
      <c r="C10" s="15" t="str">
        <f>Data!D12</f>
        <v>b1</v>
      </c>
      <c r="D10" s="15">
        <f>Data!E12</f>
        <v>0</v>
      </c>
      <c r="E10" s="20">
        <f>Data!J12</f>
        <v>2.0578124999999998</v>
      </c>
      <c r="F10" s="20">
        <f>Data!K12</f>
        <v>0.13670138888888889</v>
      </c>
      <c r="G10" s="20">
        <f>Data!J12+Data!K12</f>
        <v>2.1945138888888889</v>
      </c>
      <c r="H10" s="20" t="b">
        <f t="shared" ref="H10:H41" si="0">IF(I10&gt;0,TRUE,FALSE)</f>
        <v>1</v>
      </c>
      <c r="I10" s="25">
        <f t="shared" ref="I10:I41" si="1">IFERROR(F10/G10,0)</f>
        <v>6.2292332521122748E-2</v>
      </c>
    </row>
    <row r="11" spans="1:9" ht="16.5" x14ac:dyDescent="0.3">
      <c r="A11" s="15" t="str">
        <f>CONCATENATE(Data!A13,Data!F13&amp;" "&amp;Data!G13)</f>
        <v xml:space="preserve">Demo - 02 </v>
      </c>
      <c r="B11" s="15" t="str">
        <f>CONCATENATE(Data!B13, Data!H13)</f>
        <v>Vehicle, Company Group</v>
      </c>
      <c r="C11" s="15" t="str">
        <f>Data!D13</f>
        <v>b2</v>
      </c>
      <c r="D11" s="15">
        <f>Data!E13</f>
        <v>0</v>
      </c>
      <c r="E11" s="20">
        <f>Data!J13</f>
        <v>1.8327546296296295</v>
      </c>
      <c r="F11" s="20">
        <f>Data!K13</f>
        <v>0.10907407407407407</v>
      </c>
      <c r="G11" s="20">
        <f>Data!J13+Data!K13</f>
        <v>1.9418287037037036</v>
      </c>
      <c r="H11" s="20" t="b">
        <f t="shared" si="0"/>
        <v>1</v>
      </c>
      <c r="I11" s="25">
        <f t="shared" si="1"/>
        <v>5.6170801196848141E-2</v>
      </c>
    </row>
    <row r="12" spans="1:9" ht="16.5" x14ac:dyDescent="0.3">
      <c r="A12" s="15" t="str">
        <f>CONCATENATE(Data!A14,Data!F14&amp;" "&amp;Data!G14)</f>
        <v xml:space="preserve">Demo - 03 </v>
      </c>
      <c r="B12" s="15" t="str">
        <f>CONCATENATE(Data!B14, Data!H14)</f>
        <v>Vehicle, Company Group</v>
      </c>
      <c r="C12" s="15" t="str">
        <f>Data!D14</f>
        <v>b3</v>
      </c>
      <c r="D12" s="15">
        <f>Data!E14</f>
        <v>0</v>
      </c>
      <c r="E12" s="20">
        <f>Data!J14</f>
        <v>1.6214814814814815</v>
      </c>
      <c r="F12" s="20">
        <f>Data!K14</f>
        <v>0.10200231481481481</v>
      </c>
      <c r="G12" s="20">
        <f>Data!J14+Data!K14</f>
        <v>1.7234837962962963</v>
      </c>
      <c r="H12" s="20" t="b">
        <f t="shared" si="0"/>
        <v>1</v>
      </c>
      <c r="I12" s="25">
        <f t="shared" si="1"/>
        <v>5.9183796815504765E-2</v>
      </c>
    </row>
    <row r="13" spans="1:9" ht="16.5" x14ac:dyDescent="0.3">
      <c r="A13" s="15" t="str">
        <f>CONCATENATE(Data!A15,Data!F15&amp;" "&amp;Data!G15)</f>
        <v xml:space="preserve">Demo - 04 </v>
      </c>
      <c r="B13" s="15" t="str">
        <f>CONCATENATE(Data!B15, Data!H15)</f>
        <v>Vehicle, Company Group</v>
      </c>
      <c r="C13" s="15" t="str">
        <f>Data!D15</f>
        <v>b4</v>
      </c>
      <c r="D13" s="15">
        <f>Data!E15</f>
        <v>0</v>
      </c>
      <c r="E13" s="20">
        <f>Data!J15</f>
        <v>1.2696527777777777</v>
      </c>
      <c r="F13" s="20">
        <f>Data!K15</f>
        <v>0.10230324074074074</v>
      </c>
      <c r="G13" s="20">
        <f>Data!J15+Data!K15</f>
        <v>1.3719560185185184</v>
      </c>
      <c r="H13" s="20" t="b">
        <f t="shared" si="0"/>
        <v>1</v>
      </c>
      <c r="I13" s="25">
        <f t="shared" si="1"/>
        <v>7.4567434640660721E-2</v>
      </c>
    </row>
    <row r="14" spans="1:9" ht="16.5" x14ac:dyDescent="0.3">
      <c r="A14" s="15" t="str">
        <f>CONCATENATE(Data!A16,Data!F16&amp;" "&amp;Data!G16)</f>
        <v xml:space="preserve">Demo - 05 </v>
      </c>
      <c r="B14" s="15" t="str">
        <f>CONCATENATE(Data!B16, Data!H16)</f>
        <v>Vehicle, Company Group</v>
      </c>
      <c r="C14" s="15" t="str">
        <f>Data!D16</f>
        <v>b5</v>
      </c>
      <c r="D14" s="15">
        <f>Data!E16</f>
        <v>0</v>
      </c>
      <c r="E14" s="20">
        <f>Data!J16</f>
        <v>1.1114467592592592</v>
      </c>
      <c r="F14" s="20">
        <f>Data!K16</f>
        <v>0.11328703703703703</v>
      </c>
      <c r="G14" s="20">
        <f>Data!J16+Data!K16</f>
        <v>1.2247337962962963</v>
      </c>
      <c r="H14" s="20" t="b">
        <f t="shared" si="0"/>
        <v>1</v>
      </c>
      <c r="I14" s="25">
        <f t="shared" si="1"/>
        <v>9.249931485489099E-2</v>
      </c>
    </row>
    <row r="15" spans="1:9" ht="16.5" x14ac:dyDescent="0.3">
      <c r="A15" s="15" t="str">
        <f>CONCATENATE(Data!A17,Data!F17&amp;" "&amp;Data!G17)</f>
        <v xml:space="preserve">Demo - 06 </v>
      </c>
      <c r="B15" s="15" t="str">
        <f>CONCATENATE(Data!B17, Data!H17)</f>
        <v>Vehicle, Company Group</v>
      </c>
      <c r="C15" s="15" t="str">
        <f>Data!D17</f>
        <v>b6</v>
      </c>
      <c r="D15" s="15">
        <f>Data!E17</f>
        <v>0</v>
      </c>
      <c r="E15" s="20">
        <f>Data!J17</f>
        <v>0.96194444444444449</v>
      </c>
      <c r="F15" s="20">
        <f>Data!K17</f>
        <v>8.2800925925925931E-2</v>
      </c>
      <c r="G15" s="20">
        <f>Data!J17+Data!K17</f>
        <v>1.0447453703703704</v>
      </c>
      <c r="H15" s="20" t="b">
        <f t="shared" si="0"/>
        <v>1</v>
      </c>
      <c r="I15" s="25">
        <f t="shared" si="1"/>
        <v>7.9254647375534532E-2</v>
      </c>
    </row>
    <row r="16" spans="1:9" ht="16.5" x14ac:dyDescent="0.3">
      <c r="A16" s="15" t="str">
        <f>CONCATENATE(Data!A18,Data!F18&amp;" "&amp;Data!G18)</f>
        <v xml:space="preserve">Demo - 07 </v>
      </c>
      <c r="B16" s="15" t="str">
        <f>CONCATENATE(Data!B18, Data!H18)</f>
        <v>Vehicle, Company Group</v>
      </c>
      <c r="C16" s="15" t="str">
        <f>Data!D18</f>
        <v>b7</v>
      </c>
      <c r="D16" s="15">
        <f>Data!E18</f>
        <v>0</v>
      </c>
      <c r="E16" s="20">
        <f>Data!J18</f>
        <v>0.97918981481481482</v>
      </c>
      <c r="F16" s="20">
        <f>Data!K18</f>
        <v>0.11776620370370371</v>
      </c>
      <c r="G16" s="20">
        <f>Data!J18+Data!K18</f>
        <v>1.0969560185185185</v>
      </c>
      <c r="H16" s="20" t="b">
        <f t="shared" si="0"/>
        <v>1</v>
      </c>
      <c r="I16" s="25">
        <f t="shared" si="1"/>
        <v>0.10735727022378848</v>
      </c>
    </row>
    <row r="17" spans="1:9" ht="16.5" x14ac:dyDescent="0.3">
      <c r="A17" s="15" t="str">
        <f>CONCATENATE(Data!A19,Data!F19&amp;" "&amp;Data!G19)</f>
        <v xml:space="preserve">Demo - 08 </v>
      </c>
      <c r="B17" s="15" t="str">
        <f>CONCATENATE(Data!B19, Data!H19)</f>
        <v>Vehicle, Company Group</v>
      </c>
      <c r="C17" s="15" t="str">
        <f>Data!D19</f>
        <v>b8</v>
      </c>
      <c r="D17" s="15">
        <f>Data!E19</f>
        <v>0</v>
      </c>
      <c r="E17" s="20">
        <f>Data!J19</f>
        <v>0.75055555555555553</v>
      </c>
      <c r="F17" s="20">
        <f>Data!K19</f>
        <v>0.10905092592592593</v>
      </c>
      <c r="G17" s="20">
        <f>Data!J19+Data!K19</f>
        <v>0.85960648148148144</v>
      </c>
      <c r="H17" s="20" t="b">
        <f t="shared" si="0"/>
        <v>1</v>
      </c>
      <c r="I17" s="25">
        <f t="shared" si="1"/>
        <v>0.12686145146088595</v>
      </c>
    </row>
    <row r="18" spans="1:9" ht="16.5" x14ac:dyDescent="0.3">
      <c r="A18" s="15" t="str">
        <f>CONCATENATE(Data!A20,Data!F20&amp;" "&amp;Data!G20)</f>
        <v xml:space="preserve">Demo - 09 </v>
      </c>
      <c r="B18" s="15" t="str">
        <f>CONCATENATE(Data!B20, Data!H20)</f>
        <v>Vehicle, Company Group</v>
      </c>
      <c r="C18" s="15" t="str">
        <f>Data!D20</f>
        <v>b9</v>
      </c>
      <c r="D18" s="15">
        <f>Data!E20</f>
        <v>0</v>
      </c>
      <c r="E18" s="20">
        <f>Data!J20</f>
        <v>0.5376967592592593</v>
      </c>
      <c r="F18" s="20">
        <f>Data!K20</f>
        <v>7.4432870370370371E-2</v>
      </c>
      <c r="G18" s="20">
        <f>Data!J20+Data!K20</f>
        <v>0.61212962962962969</v>
      </c>
      <c r="H18" s="20" t="b">
        <f t="shared" si="0"/>
        <v>1</v>
      </c>
      <c r="I18" s="25">
        <f t="shared" si="1"/>
        <v>0.1215965814551505</v>
      </c>
    </row>
    <row r="19" spans="1:9" ht="16.5" x14ac:dyDescent="0.3">
      <c r="A19" s="15" t="str">
        <f>CONCATENATE(Data!A21,Data!F21&amp;" "&amp;Data!G21)</f>
        <v xml:space="preserve">Demo - 10 </v>
      </c>
      <c r="B19" s="15" t="str">
        <f>CONCATENATE(Data!B21, Data!H21)</f>
        <v>Vehicle, Company Group</v>
      </c>
      <c r="C19" s="15" t="str">
        <f>Data!D21</f>
        <v>bA</v>
      </c>
      <c r="D19" s="15">
        <f>Data!E21</f>
        <v>0</v>
      </c>
      <c r="E19" s="20">
        <f>Data!J21</f>
        <v>0.42533564814814817</v>
      </c>
      <c r="F19" s="20">
        <f>Data!K21</f>
        <v>6.4097222222222222E-2</v>
      </c>
      <c r="G19" s="20">
        <f>Data!J21+Data!K21</f>
        <v>0.48943287037037042</v>
      </c>
      <c r="H19" s="20" t="b">
        <f t="shared" si="0"/>
        <v>1</v>
      </c>
      <c r="I19" s="25">
        <f t="shared" si="1"/>
        <v>0.13096223425639084</v>
      </c>
    </row>
    <row r="20" spans="1:9" ht="16.5" x14ac:dyDescent="0.3">
      <c r="A20" s="15" t="str">
        <f>CONCATENATE(Data!A22,Data!F22&amp;" "&amp;Data!G22)</f>
        <v xml:space="preserve">Demo - 11 </v>
      </c>
      <c r="B20" s="15" t="str">
        <f>CONCATENATE(Data!B22, Data!H22)</f>
        <v>Vehicle, Company Group</v>
      </c>
      <c r="C20" s="15" t="str">
        <f>Data!D22</f>
        <v>bB</v>
      </c>
      <c r="D20" s="15">
        <f>Data!E22</f>
        <v>0</v>
      </c>
      <c r="E20" s="20">
        <f>Data!J22</f>
        <v>1.6301388888888888</v>
      </c>
      <c r="F20" s="20">
        <f>Data!K22</f>
        <v>0.10222222222222223</v>
      </c>
      <c r="G20" s="20">
        <f>Data!J22+Data!K22</f>
        <v>1.732361111111111</v>
      </c>
      <c r="H20" s="20" t="b">
        <f t="shared" si="0"/>
        <v>1</v>
      </c>
      <c r="I20" s="25">
        <f t="shared" si="1"/>
        <v>5.9007456105187213E-2</v>
      </c>
    </row>
    <row r="21" spans="1:9" ht="16.5" x14ac:dyDescent="0.3">
      <c r="A21" s="15" t="str">
        <f>CONCATENATE(Data!A23,Data!F23&amp;" "&amp;Data!G23)</f>
        <v xml:space="preserve">Demo - 12 </v>
      </c>
      <c r="B21" s="15" t="str">
        <f>CONCATENATE(Data!B23, Data!H23)</f>
        <v>Vehicle, Company Group</v>
      </c>
      <c r="C21" s="15" t="str">
        <f>Data!D23</f>
        <v>bC</v>
      </c>
      <c r="D21" s="15">
        <f>Data!E23</f>
        <v>0</v>
      </c>
      <c r="E21" s="20">
        <f>Data!J23</f>
        <v>1.3678472222222222</v>
      </c>
      <c r="F21" s="20">
        <f>Data!K23</f>
        <v>8.9525462962962959E-2</v>
      </c>
      <c r="G21" s="20">
        <f>Data!J23+Data!K23</f>
        <v>1.4573726851851851</v>
      </c>
      <c r="H21" s="20" t="b">
        <f t="shared" si="0"/>
        <v>1</v>
      </c>
      <c r="I21" s="25">
        <f t="shared" si="1"/>
        <v>6.1429354257169402E-2</v>
      </c>
    </row>
    <row r="22" spans="1:9" ht="16.5" x14ac:dyDescent="0.3">
      <c r="A22" s="15" t="str">
        <f>CONCATENATE(Data!A24,Data!F24&amp;" "&amp;Data!G24)</f>
        <v xml:space="preserve">Demo - 13 </v>
      </c>
      <c r="B22" s="15" t="str">
        <f>CONCATENATE(Data!B24, Data!H24)</f>
        <v>Vehicle, Company Group</v>
      </c>
      <c r="C22" s="15" t="str">
        <f>Data!D24</f>
        <v>bD</v>
      </c>
      <c r="D22" s="15">
        <f>Data!E24</f>
        <v>0</v>
      </c>
      <c r="E22" s="20">
        <f>Data!J24</f>
        <v>0.97672453703703699</v>
      </c>
      <c r="F22" s="20">
        <f>Data!K24</f>
        <v>0.10787037037037037</v>
      </c>
      <c r="G22" s="20">
        <f>Data!J24+Data!K24</f>
        <v>1.0845949074074073</v>
      </c>
      <c r="H22" s="20" t="b">
        <f t="shared" si="0"/>
        <v>1</v>
      </c>
      <c r="I22" s="25">
        <f t="shared" si="1"/>
        <v>9.9456829119935128E-2</v>
      </c>
    </row>
    <row r="23" spans="1:9" ht="16.5" x14ac:dyDescent="0.3">
      <c r="A23" s="15" t="str">
        <f>CONCATENATE(Data!A25,Data!F25&amp;" "&amp;Data!G25)</f>
        <v xml:space="preserve">Demo - 14 </v>
      </c>
      <c r="B23" s="15" t="str">
        <f>CONCATENATE(Data!B25, Data!H25)</f>
        <v>Vehicle, Company Group</v>
      </c>
      <c r="C23" s="15" t="str">
        <f>Data!D25</f>
        <v>bE</v>
      </c>
      <c r="D23" s="15">
        <f>Data!E25</f>
        <v>0</v>
      </c>
      <c r="E23" s="20">
        <f>Data!J25</f>
        <v>0.66740740740740745</v>
      </c>
      <c r="F23" s="20">
        <f>Data!K25</f>
        <v>0.10460648148148148</v>
      </c>
      <c r="G23" s="20">
        <f>Data!J25+Data!K25</f>
        <v>0.77201388888888889</v>
      </c>
      <c r="H23" s="20" t="b">
        <f t="shared" si="0"/>
        <v>1</v>
      </c>
      <c r="I23" s="25">
        <f t="shared" si="1"/>
        <v>0.13549818596144045</v>
      </c>
    </row>
    <row r="24" spans="1:9" ht="16.5" x14ac:dyDescent="0.3">
      <c r="A24" s="15" t="str">
        <f>CONCATENATE(Data!A26,Data!F26&amp;" "&amp;Data!G26)</f>
        <v xml:space="preserve">Demo - 15 </v>
      </c>
      <c r="B24" s="15" t="str">
        <f>CONCATENATE(Data!B26, Data!H26)</f>
        <v>Vehicle, Company Group</v>
      </c>
      <c r="C24" s="15" t="str">
        <f>Data!D26</f>
        <v>bF</v>
      </c>
      <c r="D24" s="15">
        <f>Data!E26</f>
        <v>0</v>
      </c>
      <c r="E24" s="20">
        <f>Data!J26</f>
        <v>2.3451273148148148</v>
      </c>
      <c r="F24" s="20">
        <f>Data!K26</f>
        <v>0.31540509259259258</v>
      </c>
      <c r="G24" s="20">
        <f>Data!J26+Data!K26</f>
        <v>2.6605324074074073</v>
      </c>
      <c r="H24" s="20" t="b">
        <f t="shared" si="0"/>
        <v>1</v>
      </c>
      <c r="I24" s="25">
        <f t="shared" si="1"/>
        <v>0.11854961499978249</v>
      </c>
    </row>
    <row r="25" spans="1:9" ht="16.5" x14ac:dyDescent="0.3">
      <c r="A25" s="15" t="str">
        <f>CONCATENATE(Data!A27,Data!F27&amp;" "&amp;Data!G27)</f>
        <v xml:space="preserve">Demo - 16 </v>
      </c>
      <c r="B25" s="15" t="str">
        <f>CONCATENATE(Data!B27, Data!H27)</f>
        <v>Vehicle, Company Group</v>
      </c>
      <c r="C25" s="15" t="str">
        <f>Data!D27</f>
        <v>b10</v>
      </c>
      <c r="D25" s="15">
        <f>Data!E27</f>
        <v>0</v>
      </c>
      <c r="E25" s="20">
        <f>Data!J27</f>
        <v>1.5671296296296295</v>
      </c>
      <c r="F25" s="20">
        <f>Data!K27</f>
        <v>0.1560300925925926</v>
      </c>
      <c r="G25" s="20">
        <f>Data!J27+Data!K27</f>
        <v>1.7231597222222221</v>
      </c>
      <c r="H25" s="20" t="b">
        <f t="shared" si="0"/>
        <v>1</v>
      </c>
      <c r="I25" s="25">
        <f t="shared" si="1"/>
        <v>9.0548827587133354E-2</v>
      </c>
    </row>
    <row r="26" spans="1:9" ht="16.5" x14ac:dyDescent="0.3">
      <c r="A26" s="15" t="str">
        <f>CONCATENATE(Data!A28,Data!F28&amp;" "&amp;Data!G28)</f>
        <v xml:space="preserve">Demo - 17 </v>
      </c>
      <c r="B26" s="15" t="str">
        <f>CONCATENATE(Data!B28, Data!H28)</f>
        <v>Vehicle, Company Group</v>
      </c>
      <c r="C26" s="15" t="str">
        <f>Data!D28</f>
        <v>b11</v>
      </c>
      <c r="D26" s="15">
        <f>Data!E28</f>
        <v>0</v>
      </c>
      <c r="E26" s="20">
        <f>Data!J28</f>
        <v>1.1995833333333332</v>
      </c>
      <c r="F26" s="20">
        <f>Data!K28</f>
        <v>0.18899305555555557</v>
      </c>
      <c r="G26" s="20">
        <f>Data!J28+Data!K28</f>
        <v>1.3885763888888887</v>
      </c>
      <c r="H26" s="20" t="b">
        <f t="shared" si="0"/>
        <v>1</v>
      </c>
      <c r="I26" s="25">
        <f t="shared" si="1"/>
        <v>0.13610562376534724</v>
      </c>
    </row>
    <row r="27" spans="1:9" ht="16.5" x14ac:dyDescent="0.3">
      <c r="A27" s="15" t="str">
        <f>CONCATENATE(Data!A29,Data!F29&amp;" "&amp;Data!G29)</f>
        <v xml:space="preserve">Demo - 18 </v>
      </c>
      <c r="B27" s="15" t="str">
        <f>CONCATENATE(Data!B29, Data!H29)</f>
        <v>Vehicle, Company Group</v>
      </c>
      <c r="C27" s="15" t="str">
        <f>Data!D29</f>
        <v>b12</v>
      </c>
      <c r="D27" s="15">
        <f>Data!E29</f>
        <v>0</v>
      </c>
      <c r="E27" s="20">
        <f>Data!J29</f>
        <v>0.70063657407407409</v>
      </c>
      <c r="F27" s="20">
        <f>Data!K29</f>
        <v>0.2439699074074074</v>
      </c>
      <c r="G27" s="20">
        <f>Data!J29+Data!K29</f>
        <v>0.94460648148148152</v>
      </c>
      <c r="H27" s="20" t="b">
        <f t="shared" si="0"/>
        <v>1</v>
      </c>
      <c r="I27" s="25">
        <f t="shared" si="1"/>
        <v>0.25827676624108609</v>
      </c>
    </row>
    <row r="28" spans="1:9" ht="16.5" x14ac:dyDescent="0.3">
      <c r="A28" s="15" t="str">
        <f>CONCATENATE(Data!A30,Data!F30&amp;" "&amp;Data!G30)</f>
        <v xml:space="preserve">Demo - 19 </v>
      </c>
      <c r="B28" s="15" t="str">
        <f>CONCATENATE(Data!B30, Data!H30)</f>
        <v>Vehicle, Company Group</v>
      </c>
      <c r="C28" s="15" t="str">
        <f>Data!D30</f>
        <v>b13</v>
      </c>
      <c r="D28" s="15">
        <f>Data!E30</f>
        <v>0</v>
      </c>
      <c r="E28" s="20">
        <f>Data!J30</f>
        <v>2.4384722222222224</v>
      </c>
      <c r="F28" s="20">
        <f>Data!K30</f>
        <v>0.11869212962962963</v>
      </c>
      <c r="G28" s="20">
        <f>Data!J30+Data!K30</f>
        <v>2.5571643518518519</v>
      </c>
      <c r="H28" s="20" t="b">
        <f t="shared" si="0"/>
        <v>1</v>
      </c>
      <c r="I28" s="25">
        <f t="shared" si="1"/>
        <v>4.6415526457528999E-2</v>
      </c>
    </row>
    <row r="29" spans="1:9" ht="16.5" x14ac:dyDescent="0.3">
      <c r="A29" s="15" t="str">
        <f>CONCATENATE(Data!A31,Data!F31&amp;" "&amp;Data!G31)</f>
        <v xml:space="preserve">Demo - 20 </v>
      </c>
      <c r="B29" s="15" t="str">
        <f>CONCATENATE(Data!B31, Data!H31)</f>
        <v>Vehicle, Company Group</v>
      </c>
      <c r="C29" s="15" t="str">
        <f>Data!D31</f>
        <v>b14</v>
      </c>
      <c r="D29" s="15">
        <f>Data!E31</f>
        <v>0</v>
      </c>
      <c r="E29" s="20">
        <f>Data!J31</f>
        <v>1.6402430555555556</v>
      </c>
      <c r="F29" s="20">
        <f>Data!K31</f>
        <v>8.3576388888888895E-2</v>
      </c>
      <c r="G29" s="20">
        <f>Data!J31+Data!K31</f>
        <v>1.7238194444444446</v>
      </c>
      <c r="H29" s="20" t="b">
        <f t="shared" si="0"/>
        <v>1</v>
      </c>
      <c r="I29" s="25">
        <f t="shared" si="1"/>
        <v>4.8483261491358821E-2</v>
      </c>
    </row>
    <row r="30" spans="1:9" ht="16.5" x14ac:dyDescent="0.3">
      <c r="A30" s="15" t="str">
        <f>CONCATENATE(Data!A32,Data!F32&amp;" "&amp;Data!G32)</f>
        <v xml:space="preserve">Demo - 21 </v>
      </c>
      <c r="B30" s="15" t="str">
        <f>CONCATENATE(Data!B32, Data!H32)</f>
        <v>Vehicle, Company Group</v>
      </c>
      <c r="C30" s="15" t="str">
        <f>Data!D32</f>
        <v>b15</v>
      </c>
      <c r="D30" s="15">
        <f>Data!E32</f>
        <v>0</v>
      </c>
      <c r="E30" s="20">
        <f>Data!J32</f>
        <v>1.247488425925926</v>
      </c>
      <c r="F30" s="20">
        <f>Data!K32</f>
        <v>7.9502314814814817E-2</v>
      </c>
      <c r="G30" s="20">
        <f>Data!J32+Data!K32</f>
        <v>1.3269907407407409</v>
      </c>
      <c r="H30" s="20" t="b">
        <f t="shared" si="0"/>
        <v>1</v>
      </c>
      <c r="I30" s="25">
        <f t="shared" si="1"/>
        <v>5.9911732896068097E-2</v>
      </c>
    </row>
    <row r="31" spans="1:9" ht="16.5" x14ac:dyDescent="0.3">
      <c r="A31" s="15" t="str">
        <f>CONCATENATE(Data!A33,Data!F33&amp;" "&amp;Data!G33)</f>
        <v xml:space="preserve">Demo - 22 </v>
      </c>
      <c r="B31" s="15" t="str">
        <f>CONCATENATE(Data!B33, Data!H33)</f>
        <v>Vehicle, Company Group</v>
      </c>
      <c r="C31" s="15" t="str">
        <f>Data!D33</f>
        <v>b16</v>
      </c>
      <c r="D31" s="15">
        <f>Data!E33</f>
        <v>0</v>
      </c>
      <c r="E31" s="20">
        <f>Data!J33</f>
        <v>0.74722222222222223</v>
      </c>
      <c r="F31" s="20">
        <f>Data!K33</f>
        <v>7.3819444444444438E-2</v>
      </c>
      <c r="G31" s="20">
        <f>Data!J33+Data!K33</f>
        <v>0.82104166666666667</v>
      </c>
      <c r="H31" s="20" t="b">
        <f t="shared" si="0"/>
        <v>1</v>
      </c>
      <c r="I31" s="25">
        <f t="shared" si="1"/>
        <v>8.990949843525331E-2</v>
      </c>
    </row>
    <row r="32" spans="1:9" ht="16.5" x14ac:dyDescent="0.3">
      <c r="A32" s="15" t="str">
        <f>CONCATENATE(Data!A34,Data!F34&amp;" "&amp;Data!G34)</f>
        <v xml:space="preserve">Demo - 23 </v>
      </c>
      <c r="B32" s="15" t="str">
        <f>CONCATENATE(Data!B34, Data!H34)</f>
        <v>Vehicle, Company Group</v>
      </c>
      <c r="C32" s="15" t="str">
        <f>Data!D34</f>
        <v>b17</v>
      </c>
      <c r="D32" s="15">
        <f>Data!E34</f>
        <v>0</v>
      </c>
      <c r="E32" s="20">
        <f>Data!J34</f>
        <v>1.5422222222222222</v>
      </c>
      <c r="F32" s="20">
        <f>Data!K34</f>
        <v>0.12765046296296295</v>
      </c>
      <c r="G32" s="20">
        <f>Data!J34+Data!K34</f>
        <v>1.6698726851851851</v>
      </c>
      <c r="H32" s="20" t="b">
        <f t="shared" si="0"/>
        <v>1</v>
      </c>
      <c r="I32" s="25">
        <f t="shared" si="1"/>
        <v>7.6443230729776754E-2</v>
      </c>
    </row>
    <row r="33" spans="1:9" ht="16.5" x14ac:dyDescent="0.3">
      <c r="A33" s="15" t="str">
        <f>CONCATENATE(Data!A35,Data!F35&amp;" "&amp;Data!G35)</f>
        <v xml:space="preserve">Demo - 24 </v>
      </c>
      <c r="B33" s="15" t="str">
        <f>CONCATENATE(Data!B35, Data!H35)</f>
        <v>Vehicle, Company Group</v>
      </c>
      <c r="C33" s="15" t="str">
        <f>Data!D35</f>
        <v>b18</v>
      </c>
      <c r="D33" s="15">
        <f>Data!E35</f>
        <v>0</v>
      </c>
      <c r="E33" s="20">
        <f>Data!J35</f>
        <v>1.3146064814814815</v>
      </c>
      <c r="F33" s="20">
        <f>Data!K35</f>
        <v>0.16199074074074074</v>
      </c>
      <c r="G33" s="20">
        <f>Data!J35+Data!K35</f>
        <v>1.4765972222222223</v>
      </c>
      <c r="H33" s="20" t="b">
        <f t="shared" si="0"/>
        <v>1</v>
      </c>
      <c r="I33" s="25">
        <f t="shared" si="1"/>
        <v>0.10970543510636629</v>
      </c>
    </row>
    <row r="34" spans="1:9" ht="16.5" x14ac:dyDescent="0.3">
      <c r="A34" s="15" t="str">
        <f>CONCATENATE(Data!A36,Data!F36&amp;" "&amp;Data!G36)</f>
        <v xml:space="preserve">Demo - 25 </v>
      </c>
      <c r="B34" s="15" t="str">
        <f>CONCATENATE(Data!B36, Data!H36)</f>
        <v>Vehicle, Company Group</v>
      </c>
      <c r="C34" s="15" t="str">
        <f>Data!D36</f>
        <v>b19</v>
      </c>
      <c r="D34" s="15">
        <f>Data!E36</f>
        <v>0</v>
      </c>
      <c r="E34" s="20">
        <f>Data!J36</f>
        <v>0.765162037037037</v>
      </c>
      <c r="F34" s="20">
        <f>Data!K36</f>
        <v>0.11527777777777778</v>
      </c>
      <c r="G34" s="20">
        <f>Data!J36+Data!K36</f>
        <v>0.88043981481481481</v>
      </c>
      <c r="H34" s="20" t="b">
        <f t="shared" si="0"/>
        <v>1</v>
      </c>
      <c r="I34" s="25">
        <f t="shared" si="1"/>
        <v>0.13093203628237152</v>
      </c>
    </row>
    <row r="35" spans="1:9" ht="16.5" x14ac:dyDescent="0.3">
      <c r="A35" s="15" t="str">
        <f>CONCATENATE(Data!A37,Data!F37&amp;" "&amp;Data!G37)</f>
        <v xml:space="preserve">Demo - 26 </v>
      </c>
      <c r="B35" s="15" t="str">
        <f>CONCATENATE(Data!B37, Data!H37)</f>
        <v>Vehicle, Company Group</v>
      </c>
      <c r="C35" s="15" t="str">
        <f>Data!D37</f>
        <v>b1A</v>
      </c>
      <c r="D35" s="15">
        <f>Data!E37</f>
        <v>0</v>
      </c>
      <c r="E35" s="20">
        <f>Data!J37</f>
        <v>0.6068634259259259</v>
      </c>
      <c r="F35" s="20">
        <f>Data!K37</f>
        <v>9.8159722222222218E-2</v>
      </c>
      <c r="G35" s="20">
        <f>Data!J37+Data!K37</f>
        <v>0.70502314814814815</v>
      </c>
      <c r="H35" s="20" t="b">
        <f t="shared" si="0"/>
        <v>1</v>
      </c>
      <c r="I35" s="25">
        <f t="shared" si="1"/>
        <v>0.13922907705946086</v>
      </c>
    </row>
    <row r="36" spans="1:9" ht="16.5" x14ac:dyDescent="0.3">
      <c r="A36" s="15" t="str">
        <f>CONCATENATE(Data!A38,Data!F38&amp;" "&amp;Data!G38)</f>
        <v xml:space="preserve">Demo - 27 </v>
      </c>
      <c r="B36" s="15" t="str">
        <f>CONCATENATE(Data!B38, Data!H38)</f>
        <v>Vehicle, Company Group</v>
      </c>
      <c r="C36" s="15" t="str">
        <f>Data!D38</f>
        <v>b1B</v>
      </c>
      <c r="D36" s="15">
        <f>Data!E38</f>
        <v>0</v>
      </c>
      <c r="E36" s="20">
        <f>Data!J38</f>
        <v>2.0089004629629628</v>
      </c>
      <c r="F36" s="20">
        <f>Data!K38</f>
        <v>0.17064814814814816</v>
      </c>
      <c r="G36" s="20">
        <f>Data!J38+Data!K38</f>
        <v>2.1795486111111111</v>
      </c>
      <c r="H36" s="20" t="b">
        <f t="shared" si="0"/>
        <v>1</v>
      </c>
      <c r="I36" s="25">
        <f t="shared" si="1"/>
        <v>7.8295178771513388E-2</v>
      </c>
    </row>
    <row r="37" spans="1:9" ht="16.5" x14ac:dyDescent="0.3">
      <c r="A37" s="15" t="str">
        <f>CONCATENATE(Data!A39,Data!F39&amp;" "&amp;Data!G39)</f>
        <v xml:space="preserve">Demo - 28 </v>
      </c>
      <c r="B37" s="15" t="str">
        <f>CONCATENATE(Data!B39, Data!H39)</f>
        <v>Vehicle, Company Group</v>
      </c>
      <c r="C37" s="15" t="str">
        <f>Data!D39</f>
        <v>b1C</v>
      </c>
      <c r="D37" s="15">
        <f>Data!E39</f>
        <v>0</v>
      </c>
      <c r="E37" s="20">
        <f>Data!J39</f>
        <v>1.5158449074074074</v>
      </c>
      <c r="F37" s="20">
        <f>Data!K39</f>
        <v>0.15645833333333334</v>
      </c>
      <c r="G37" s="20">
        <f>Data!J39+Data!K39</f>
        <v>1.6723032407407408</v>
      </c>
      <c r="H37" s="20" t="b">
        <f t="shared" si="0"/>
        <v>1</v>
      </c>
      <c r="I37" s="25">
        <f t="shared" si="1"/>
        <v>9.355859004616332E-2</v>
      </c>
    </row>
    <row r="38" spans="1:9" ht="16.5" x14ac:dyDescent="0.3">
      <c r="A38" s="15" t="str">
        <f>CONCATENATE(Data!A40,Data!F40&amp;" "&amp;Data!G40)</f>
        <v xml:space="preserve">Demo - 29 </v>
      </c>
      <c r="B38" s="15" t="str">
        <f>CONCATENATE(Data!B40, Data!H40)</f>
        <v>Vehicle, Company Group</v>
      </c>
      <c r="C38" s="15" t="str">
        <f>Data!D40</f>
        <v>b1D</v>
      </c>
      <c r="D38" s="15">
        <f>Data!E40</f>
        <v>0</v>
      </c>
      <c r="E38" s="20">
        <f>Data!J40</f>
        <v>1.1354745370370369</v>
      </c>
      <c r="F38" s="20">
        <f>Data!K40</f>
        <v>0.15285879629629628</v>
      </c>
      <c r="G38" s="20">
        <f>Data!J40+Data!K40</f>
        <v>1.2883333333333331</v>
      </c>
      <c r="H38" s="20" t="b">
        <f t="shared" si="0"/>
        <v>1</v>
      </c>
      <c r="I38" s="25">
        <f t="shared" si="1"/>
        <v>0.11864848354175651</v>
      </c>
    </row>
    <row r="39" spans="1:9" ht="16.5" x14ac:dyDescent="0.3">
      <c r="A39" s="15" t="str">
        <f>CONCATENATE(Data!A41,Data!F41&amp;" "&amp;Data!G41)</f>
        <v xml:space="preserve">Demo - 30 </v>
      </c>
      <c r="B39" s="15" t="str">
        <f>CONCATENATE(Data!B41, Data!H41)</f>
        <v>Vehicle, Company Group</v>
      </c>
      <c r="C39" s="15" t="str">
        <f>Data!D41</f>
        <v>b1E</v>
      </c>
      <c r="D39" s="15">
        <f>Data!E41</f>
        <v>0</v>
      </c>
      <c r="E39" s="20">
        <f>Data!J41</f>
        <v>0.6696643518518518</v>
      </c>
      <c r="F39" s="20">
        <f>Data!K41</f>
        <v>0.10482638888888889</v>
      </c>
      <c r="G39" s="20">
        <f>Data!J41+Data!K41</f>
        <v>0.77449074074074065</v>
      </c>
      <c r="H39" s="20" t="b">
        <f t="shared" si="0"/>
        <v>1</v>
      </c>
      <c r="I39" s="25">
        <f t="shared" si="1"/>
        <v>0.13534879550481202</v>
      </c>
    </row>
    <row r="40" spans="1:9" ht="16.5" x14ac:dyDescent="0.3">
      <c r="A40" s="15" t="str">
        <f>CONCATENATE(Data!A42,Data!F42&amp;" "&amp;Data!G42)</f>
        <v xml:space="preserve">Demo - 31 </v>
      </c>
      <c r="B40" s="15" t="str">
        <f>CONCATENATE(Data!B42, Data!H42)</f>
        <v>Vehicle, Company Group</v>
      </c>
      <c r="C40" s="15" t="str">
        <f>Data!D42</f>
        <v>b1F</v>
      </c>
      <c r="D40" s="15">
        <f>Data!E42</f>
        <v>0</v>
      </c>
      <c r="E40" s="20">
        <f>Data!J42</f>
        <v>2.1596064814814815</v>
      </c>
      <c r="F40" s="20">
        <f>Data!K42</f>
        <v>0.33390046296296294</v>
      </c>
      <c r="G40" s="20">
        <f>Data!J42+Data!K42</f>
        <v>2.4935069444444444</v>
      </c>
      <c r="H40" s="20" t="b">
        <f t="shared" si="0"/>
        <v>1</v>
      </c>
      <c r="I40" s="25">
        <f t="shared" si="1"/>
        <v>0.13390797395086312</v>
      </c>
    </row>
    <row r="41" spans="1:9" ht="16.5" x14ac:dyDescent="0.3">
      <c r="A41" s="15" t="str">
        <f>CONCATENATE(Data!A43,Data!F43&amp;" "&amp;Data!G43)</f>
        <v xml:space="preserve">Demo - 32 </v>
      </c>
      <c r="B41" s="15" t="str">
        <f>CONCATENATE(Data!B43, Data!H43)</f>
        <v>Vehicle, Company Group</v>
      </c>
      <c r="C41" s="15" t="str">
        <f>Data!D43</f>
        <v>b20</v>
      </c>
      <c r="D41" s="15">
        <f>Data!E43</f>
        <v>0</v>
      </c>
      <c r="E41" s="20">
        <f>Data!J43</f>
        <v>1.6495023148148149</v>
      </c>
      <c r="F41" s="20">
        <f>Data!K43</f>
        <v>0.27041666666666669</v>
      </c>
      <c r="G41" s="20">
        <f>Data!J43+Data!K43</f>
        <v>1.9199189814814817</v>
      </c>
      <c r="H41" s="20" t="b">
        <f t="shared" si="0"/>
        <v>1</v>
      </c>
      <c r="I41" s="25">
        <f t="shared" si="1"/>
        <v>0.14084795727057348</v>
      </c>
    </row>
    <row r="42" spans="1:9" ht="16.5" x14ac:dyDescent="0.3">
      <c r="A42" s="15" t="str">
        <f>CONCATENATE(Data!A44,Data!F44&amp;" "&amp;Data!G44)</f>
        <v xml:space="preserve">Demo - 33 </v>
      </c>
      <c r="B42" s="15" t="str">
        <f>CONCATENATE(Data!B44, Data!H44)</f>
        <v>Vehicle, Company Group</v>
      </c>
      <c r="C42" s="15" t="str">
        <f>Data!D44</f>
        <v>b21</v>
      </c>
      <c r="D42" s="15">
        <f>Data!E44</f>
        <v>0</v>
      </c>
      <c r="E42" s="20">
        <f>Data!J44</f>
        <v>1.4063425925925925</v>
      </c>
      <c r="F42" s="20">
        <f>Data!K44</f>
        <v>0.25844907407407408</v>
      </c>
      <c r="G42" s="20">
        <f>Data!J44+Data!K44</f>
        <v>1.6647916666666667</v>
      </c>
      <c r="H42" s="20" t="b">
        <f t="shared" ref="H42:H59" si="2">IF(I42&gt;0,TRUE,FALSE)</f>
        <v>1</v>
      </c>
      <c r="I42" s="25">
        <f t="shared" ref="I42:I59" si="3">IFERROR(F42/G42,0)</f>
        <v>0.15524409405025097</v>
      </c>
    </row>
    <row r="43" spans="1:9" ht="16.5" x14ac:dyDescent="0.3">
      <c r="A43" s="15" t="str">
        <f>CONCATENATE(Data!A45,Data!F45&amp;" "&amp;Data!G45)</f>
        <v xml:space="preserve">Demo - 34 </v>
      </c>
      <c r="B43" s="15" t="str">
        <f>CONCATENATE(Data!B45, Data!H45)</f>
        <v>Vehicle, Company Group</v>
      </c>
      <c r="C43" s="15" t="str">
        <f>Data!D45</f>
        <v>b22</v>
      </c>
      <c r="D43" s="15">
        <f>Data!E45</f>
        <v>0</v>
      </c>
      <c r="E43" s="20">
        <f>Data!J45</f>
        <v>0.64804398148148146</v>
      </c>
      <c r="F43" s="20">
        <f>Data!K45</f>
        <v>0.23974537037037036</v>
      </c>
      <c r="G43" s="20">
        <f>Data!J45+Data!K45</f>
        <v>0.88778935185185182</v>
      </c>
      <c r="H43" s="20" t="b">
        <f t="shared" si="2"/>
        <v>1</v>
      </c>
      <c r="I43" s="25">
        <f t="shared" si="3"/>
        <v>0.27004758490320058</v>
      </c>
    </row>
    <row r="44" spans="1:9" ht="16.5" x14ac:dyDescent="0.3">
      <c r="A44" s="15" t="str">
        <f>CONCATENATE(Data!A46,Data!F46&amp;" "&amp;Data!G46)</f>
        <v xml:space="preserve">Demo - 35 </v>
      </c>
      <c r="B44" s="15" t="str">
        <f>CONCATENATE(Data!B46, Data!H46)</f>
        <v>Vehicle, Company Group</v>
      </c>
      <c r="C44" s="15" t="str">
        <f>Data!D46</f>
        <v>b23</v>
      </c>
      <c r="D44" s="15">
        <f>Data!E46</f>
        <v>0</v>
      </c>
      <c r="E44" s="20">
        <f>Data!J46</f>
        <v>2.0028356481481482</v>
      </c>
      <c r="F44" s="20">
        <f>Data!K46</f>
        <v>9.8159722222222218E-2</v>
      </c>
      <c r="G44" s="20">
        <f>Data!J46+Data!K46</f>
        <v>2.1009953703703705</v>
      </c>
      <c r="H44" s="20" t="b">
        <f t="shared" si="2"/>
        <v>1</v>
      </c>
      <c r="I44" s="25">
        <f t="shared" si="3"/>
        <v>4.6720579972015022E-2</v>
      </c>
    </row>
    <row r="45" spans="1:9" ht="16.5" x14ac:dyDescent="0.3">
      <c r="A45" s="15" t="str">
        <f>CONCATENATE(Data!A47,Data!F47&amp;" "&amp;Data!G47)</f>
        <v xml:space="preserve">Demo - 36 </v>
      </c>
      <c r="B45" s="15" t="str">
        <f>CONCATENATE(Data!B47, Data!H47)</f>
        <v>Vehicle, Company Group</v>
      </c>
      <c r="C45" s="15" t="str">
        <f>Data!D47</f>
        <v>b24</v>
      </c>
      <c r="D45" s="15">
        <f>Data!E47</f>
        <v>0</v>
      </c>
      <c r="E45" s="20">
        <f>Data!J47</f>
        <v>1.5964699074074074</v>
      </c>
      <c r="F45" s="20">
        <f>Data!K47</f>
        <v>7.6921296296296293E-2</v>
      </c>
      <c r="G45" s="20">
        <f>Data!J47+Data!K47</f>
        <v>1.6733912037037038</v>
      </c>
      <c r="H45" s="20" t="b">
        <f t="shared" si="2"/>
        <v>1</v>
      </c>
      <c r="I45" s="25">
        <f t="shared" si="3"/>
        <v>4.596731244077714E-2</v>
      </c>
    </row>
    <row r="46" spans="1:9" ht="16.5" x14ac:dyDescent="0.3">
      <c r="A46" s="15" t="str">
        <f>CONCATENATE(Data!A48,Data!F48&amp;" "&amp;Data!G48)</f>
        <v xml:space="preserve">Demo - 37 </v>
      </c>
      <c r="B46" s="15" t="str">
        <f>CONCATENATE(Data!B48, Data!H48)</f>
        <v>Vehicle, Company Group</v>
      </c>
      <c r="C46" s="15" t="str">
        <f>Data!D48</f>
        <v>b25</v>
      </c>
      <c r="D46" s="15">
        <f>Data!E48</f>
        <v>0</v>
      </c>
      <c r="E46" s="20">
        <f>Data!J48</f>
        <v>1.2104166666666667</v>
      </c>
      <c r="F46" s="20">
        <f>Data!K48</f>
        <v>4.9050925925925928E-2</v>
      </c>
      <c r="G46" s="20">
        <f>Data!J48+Data!K48</f>
        <v>1.2594675925925927</v>
      </c>
      <c r="H46" s="20" t="b">
        <f t="shared" si="2"/>
        <v>1</v>
      </c>
      <c r="I46" s="25">
        <f t="shared" si="3"/>
        <v>3.8945762649561656E-2</v>
      </c>
    </row>
    <row r="47" spans="1:9" ht="16.5" x14ac:dyDescent="0.3">
      <c r="A47" s="15" t="str">
        <f>CONCATENATE(Data!A49,Data!F49&amp;" "&amp;Data!G49)</f>
        <v xml:space="preserve">Demo - 38 </v>
      </c>
      <c r="B47" s="15" t="str">
        <f>CONCATENATE(Data!B49, Data!H49)</f>
        <v>Vehicle, Company Group</v>
      </c>
      <c r="C47" s="15" t="str">
        <f>Data!D49</f>
        <v>b26</v>
      </c>
      <c r="D47" s="15">
        <f>Data!E49</f>
        <v>0</v>
      </c>
      <c r="E47" s="20">
        <f>Data!J49</f>
        <v>0.94930555555555551</v>
      </c>
      <c r="F47" s="20">
        <f>Data!K49</f>
        <v>6.2534722222222228E-2</v>
      </c>
      <c r="G47" s="20">
        <f>Data!J49+Data!K49</f>
        <v>1.0118402777777777</v>
      </c>
      <c r="H47" s="20" t="b">
        <f t="shared" si="2"/>
        <v>1</v>
      </c>
      <c r="I47" s="25">
        <f t="shared" si="3"/>
        <v>6.180295803163928E-2</v>
      </c>
    </row>
    <row r="48" spans="1:9" ht="16.5" x14ac:dyDescent="0.3">
      <c r="A48" s="15" t="str">
        <f>CONCATENATE(Data!A50,Data!F50&amp;" "&amp;Data!G50)</f>
        <v xml:space="preserve">Demo - 39 </v>
      </c>
      <c r="B48" s="15" t="str">
        <f>CONCATENATE(Data!B50, Data!H50)</f>
        <v>Vehicle, Company Group</v>
      </c>
      <c r="C48" s="15" t="str">
        <f>Data!D50</f>
        <v>b27</v>
      </c>
      <c r="D48" s="15">
        <f>Data!E50</f>
        <v>0</v>
      </c>
      <c r="E48" s="20">
        <f>Data!J50</f>
        <v>1.4680324074074074</v>
      </c>
      <c r="F48" s="20">
        <f>Data!K50</f>
        <v>0.10100694444444444</v>
      </c>
      <c r="G48" s="20">
        <f>Data!J50+Data!K50</f>
        <v>1.5690393518518517</v>
      </c>
      <c r="H48" s="20" t="b">
        <f t="shared" si="2"/>
        <v>1</v>
      </c>
      <c r="I48" s="25">
        <f t="shared" si="3"/>
        <v>6.4375023051672628E-2</v>
      </c>
    </row>
    <row r="49" spans="1:9" ht="16.5" x14ac:dyDescent="0.3">
      <c r="A49" s="15" t="str">
        <f>CONCATENATE(Data!A51,Data!F51&amp;" "&amp;Data!G51)</f>
        <v xml:space="preserve">Demo - 40 </v>
      </c>
      <c r="B49" s="15" t="str">
        <f>CONCATENATE(Data!B51, Data!H51)</f>
        <v>Vehicle, Company Group</v>
      </c>
      <c r="C49" s="15" t="str">
        <f>Data!D51</f>
        <v>b28</v>
      </c>
      <c r="D49" s="15">
        <f>Data!E51</f>
        <v>0</v>
      </c>
      <c r="E49" s="20">
        <f>Data!J51</f>
        <v>1.1166782407407407</v>
      </c>
      <c r="F49" s="20">
        <f>Data!K51</f>
        <v>9.1770833333333329E-2</v>
      </c>
      <c r="G49" s="20">
        <f>Data!J51+Data!K51</f>
        <v>1.2084490740740741</v>
      </c>
      <c r="H49" s="20" t="b">
        <f t="shared" si="2"/>
        <v>1</v>
      </c>
      <c r="I49" s="25">
        <f t="shared" si="3"/>
        <v>7.5941001819749068E-2</v>
      </c>
    </row>
    <row r="50" spans="1:9" ht="16.5" x14ac:dyDescent="0.3">
      <c r="A50" s="15" t="str">
        <f>CONCATENATE(Data!A52,Data!F52&amp;" "&amp;Data!G52)</f>
        <v xml:space="preserve">Demo - 41 </v>
      </c>
      <c r="B50" s="15" t="str">
        <f>CONCATENATE(Data!B52, Data!H52)</f>
        <v>Vehicle, Company Group</v>
      </c>
      <c r="C50" s="15" t="str">
        <f>Data!D52</f>
        <v>b29</v>
      </c>
      <c r="D50" s="15">
        <f>Data!E52</f>
        <v>0</v>
      </c>
      <c r="E50" s="20">
        <f>Data!J52</f>
        <v>0.83578703703703705</v>
      </c>
      <c r="F50" s="20">
        <f>Data!K52</f>
        <v>0.1090162037037037</v>
      </c>
      <c r="G50" s="20">
        <f>Data!J52+Data!K52</f>
        <v>0.94480324074074074</v>
      </c>
      <c r="H50" s="20" t="b">
        <f t="shared" si="2"/>
        <v>1</v>
      </c>
      <c r="I50" s="25">
        <f t="shared" si="3"/>
        <v>0.11538508654800259</v>
      </c>
    </row>
    <row r="51" spans="1:9" ht="16.5" x14ac:dyDescent="0.3">
      <c r="A51" s="15" t="str">
        <f>CONCATENATE(Data!A53,Data!F53&amp;" "&amp;Data!G53)</f>
        <v xml:space="preserve">Demo - 42 </v>
      </c>
      <c r="B51" s="15" t="str">
        <f>CONCATENATE(Data!B53, Data!H53)</f>
        <v>Vehicle, Company Group</v>
      </c>
      <c r="C51" s="15" t="str">
        <f>Data!D53</f>
        <v>b2A</v>
      </c>
      <c r="D51" s="15">
        <f>Data!E53</f>
        <v>0</v>
      </c>
      <c r="E51" s="20">
        <f>Data!J53</f>
        <v>0.44502314814814814</v>
      </c>
      <c r="F51" s="20">
        <f>Data!K53</f>
        <v>9.7384259259259254E-2</v>
      </c>
      <c r="G51" s="20">
        <f>Data!J53+Data!K53</f>
        <v>0.54240740740740745</v>
      </c>
      <c r="H51" s="20" t="b">
        <f t="shared" si="2"/>
        <v>1</v>
      </c>
      <c r="I51" s="25">
        <f t="shared" si="3"/>
        <v>0.17954079890747693</v>
      </c>
    </row>
    <row r="52" spans="1:9" ht="16.5" x14ac:dyDescent="0.3">
      <c r="A52" s="15" t="str">
        <f>CONCATENATE(Data!A54,Data!F54&amp;" "&amp;Data!G54)</f>
        <v xml:space="preserve">Demo - 43 </v>
      </c>
      <c r="B52" s="15" t="str">
        <f>CONCATENATE(Data!B54, Data!H54)</f>
        <v>Vehicle, Company Group</v>
      </c>
      <c r="C52" s="15" t="str">
        <f>Data!D54</f>
        <v>b2B</v>
      </c>
      <c r="D52" s="15">
        <f>Data!E54</f>
        <v>0</v>
      </c>
      <c r="E52" s="20">
        <f>Data!J54</f>
        <v>2.1139699074074074</v>
      </c>
      <c r="F52" s="20">
        <f>Data!K54</f>
        <v>7.4143518518518525E-2</v>
      </c>
      <c r="G52" s="20">
        <f>Data!J54+Data!K54</f>
        <v>2.1881134259259261</v>
      </c>
      <c r="H52" s="20" t="b">
        <f t="shared" si="2"/>
        <v>1</v>
      </c>
      <c r="I52" s="25">
        <f t="shared" si="3"/>
        <v>3.3884677841663449E-2</v>
      </c>
    </row>
    <row r="53" spans="1:9" ht="16.5" x14ac:dyDescent="0.3">
      <c r="A53" s="15" t="str">
        <f>CONCATENATE(Data!A55,Data!F55&amp;" "&amp;Data!G55)</f>
        <v xml:space="preserve">Demo - 44 </v>
      </c>
      <c r="B53" s="15" t="str">
        <f>CONCATENATE(Data!B55, Data!H55)</f>
        <v>Vehicle, Company Group</v>
      </c>
      <c r="C53" s="15" t="str">
        <f>Data!D55</f>
        <v>b2C</v>
      </c>
      <c r="D53" s="15">
        <f>Data!E55</f>
        <v>0</v>
      </c>
      <c r="E53" s="20">
        <f>Data!J55</f>
        <v>1.9152662037037036</v>
      </c>
      <c r="F53" s="20">
        <f>Data!K55</f>
        <v>0.13878472222222221</v>
      </c>
      <c r="G53" s="20">
        <f>Data!J55+Data!K55</f>
        <v>2.0540509259259259</v>
      </c>
      <c r="H53" s="20" t="b">
        <f t="shared" si="2"/>
        <v>1</v>
      </c>
      <c r="I53" s="25">
        <f t="shared" si="3"/>
        <v>6.7566349242125429E-2</v>
      </c>
    </row>
    <row r="54" spans="1:9" ht="16.5" x14ac:dyDescent="0.3">
      <c r="A54" s="15" t="str">
        <f>CONCATENATE(Data!A56,Data!F56&amp;" "&amp;Data!G56)</f>
        <v xml:space="preserve">Demo - 45 </v>
      </c>
      <c r="B54" s="15" t="str">
        <f>CONCATENATE(Data!B56, Data!H56)</f>
        <v>Vehicle, Company Group</v>
      </c>
      <c r="C54" s="15" t="str">
        <f>Data!D56</f>
        <v>b2D</v>
      </c>
      <c r="D54" s="15">
        <f>Data!E56</f>
        <v>0</v>
      </c>
      <c r="E54" s="20">
        <f>Data!J56</f>
        <v>1.6208101851851853</v>
      </c>
      <c r="F54" s="20">
        <f>Data!K56</f>
        <v>0.14951388888888889</v>
      </c>
      <c r="G54" s="20">
        <f>Data!J56+Data!K56</f>
        <v>1.7703240740740742</v>
      </c>
      <c r="H54" s="20" t="b">
        <f t="shared" si="2"/>
        <v>1</v>
      </c>
      <c r="I54" s="25">
        <f t="shared" si="3"/>
        <v>8.4455660451371636E-2</v>
      </c>
    </row>
    <row r="55" spans="1:9" ht="16.5" x14ac:dyDescent="0.3">
      <c r="A55" s="15" t="str">
        <f>CONCATENATE(Data!A57,Data!F57&amp;" "&amp;Data!G57)</f>
        <v xml:space="preserve">Demo - 46 </v>
      </c>
      <c r="B55" s="15" t="str">
        <f>CONCATENATE(Data!B57, Data!H57)</f>
        <v>Vehicle, Company Group</v>
      </c>
      <c r="C55" s="15" t="str">
        <f>Data!D57</f>
        <v>b2E</v>
      </c>
      <c r="D55" s="15">
        <f>Data!E57</f>
        <v>0</v>
      </c>
      <c r="E55" s="20">
        <f>Data!J57</f>
        <v>0.65839120370370374</v>
      </c>
      <c r="F55" s="20">
        <f>Data!K57</f>
        <v>0.10127314814814815</v>
      </c>
      <c r="G55" s="20">
        <f>Data!J57+Data!K57</f>
        <v>0.75966435185185188</v>
      </c>
      <c r="H55" s="20" t="b">
        <f t="shared" si="2"/>
        <v>1</v>
      </c>
      <c r="I55" s="25">
        <f t="shared" si="3"/>
        <v>0.13331301896853812</v>
      </c>
    </row>
    <row r="56" spans="1:9" ht="16.5" x14ac:dyDescent="0.3">
      <c r="A56" s="15" t="str">
        <f>CONCATENATE(Data!A58,Data!F58&amp;" "&amp;Data!G58)</f>
        <v xml:space="preserve">Demo - 47 </v>
      </c>
      <c r="B56" s="15" t="str">
        <f>CONCATENATE(Data!B58, Data!H58)</f>
        <v>Vehicle, Company Group</v>
      </c>
      <c r="C56" s="15" t="str">
        <f>Data!D58</f>
        <v>b2F</v>
      </c>
      <c r="D56" s="15">
        <f>Data!E58</f>
        <v>0</v>
      </c>
      <c r="E56" s="20">
        <f>Data!J58</f>
        <v>1.0789120370370371</v>
      </c>
      <c r="F56" s="20">
        <f>Data!K58</f>
        <v>3.472222222222222E-3</v>
      </c>
      <c r="G56" s="20">
        <f>Data!J58+Data!K58</f>
        <v>1.0823842592592594</v>
      </c>
      <c r="H56" s="20" t="b">
        <f t="shared" si="2"/>
        <v>1</v>
      </c>
      <c r="I56" s="25">
        <f t="shared" si="3"/>
        <v>3.2079385786693464E-3</v>
      </c>
    </row>
    <row r="57" spans="1:9" ht="16.5" x14ac:dyDescent="0.3">
      <c r="A57" s="15" t="str">
        <f>CONCATENATE(Data!A59,Data!F59&amp;" "&amp;Data!G59)</f>
        <v xml:space="preserve">Demo - 48 </v>
      </c>
      <c r="B57" s="15" t="str">
        <f>CONCATENATE(Data!B59, Data!H59)</f>
        <v>Vehicle, Company Group</v>
      </c>
      <c r="C57" s="15" t="str">
        <f>Data!D59</f>
        <v>b30</v>
      </c>
      <c r="D57" s="15">
        <f>Data!E59</f>
        <v>0</v>
      </c>
      <c r="E57" s="20">
        <f>Data!J59</f>
        <v>0.88918981481481485</v>
      </c>
      <c r="F57" s="20">
        <f>Data!K59</f>
        <v>3.472222222222222E-3</v>
      </c>
      <c r="G57" s="20">
        <f>Data!J59+Data!K59</f>
        <v>0.89266203703703706</v>
      </c>
      <c r="H57" s="20" t="b">
        <f t="shared" si="2"/>
        <v>1</v>
      </c>
      <c r="I57" s="25">
        <f t="shared" si="3"/>
        <v>3.8897388688639368E-3</v>
      </c>
    </row>
    <row r="58" spans="1:9" ht="16.5" x14ac:dyDescent="0.3">
      <c r="A58" s="15" t="str">
        <f>CONCATENATE(Data!A60,Data!F60&amp;" "&amp;Data!G60)</f>
        <v xml:space="preserve">Demo - 49 </v>
      </c>
      <c r="B58" s="15" t="str">
        <f>CONCATENATE(Data!B60, Data!H60)</f>
        <v>Vehicle, Company Group</v>
      </c>
      <c r="C58" s="15" t="str">
        <f>Data!D60</f>
        <v>b31</v>
      </c>
      <c r="D58" s="15">
        <f>Data!E60</f>
        <v>0</v>
      </c>
      <c r="E58" s="20">
        <f>Data!J60</f>
        <v>0.59608796296296296</v>
      </c>
      <c r="F58" s="20">
        <f>Data!K60</f>
        <v>3.472222222222222E-3</v>
      </c>
      <c r="G58" s="20">
        <f>Data!J60+Data!K60</f>
        <v>0.59956018518518517</v>
      </c>
      <c r="H58" s="20" t="b">
        <f t="shared" si="2"/>
        <v>1</v>
      </c>
      <c r="I58" s="25">
        <f t="shared" si="3"/>
        <v>5.7912821898768382E-3</v>
      </c>
    </row>
    <row r="59" spans="1:9" ht="16.5" x14ac:dyDescent="0.3">
      <c r="A59" s="15" t="str">
        <f>CONCATENATE(Data!A61,Data!F61&amp;" "&amp;Data!G61)</f>
        <v xml:space="preserve">Demo - 50 </v>
      </c>
      <c r="B59" s="15" t="str">
        <f>CONCATENATE(Data!B61, Data!H61)</f>
        <v>Vehicle, Company Group</v>
      </c>
      <c r="C59" s="15" t="str">
        <f>Data!D61</f>
        <v>b32</v>
      </c>
      <c r="D59" s="15">
        <f>Data!E61</f>
        <v>0</v>
      </c>
      <c r="E59" s="20">
        <f>Data!J61</f>
        <v>0.31549768518518517</v>
      </c>
      <c r="F59" s="20">
        <f>Data!K61</f>
        <v>3.472222222222222E-3</v>
      </c>
      <c r="G59" s="20">
        <f>Data!J61+Data!K61</f>
        <v>0.31896990740740738</v>
      </c>
      <c r="H59" s="20" t="b">
        <f t="shared" si="2"/>
        <v>1</v>
      </c>
      <c r="I59" s="25">
        <f t="shared" si="3"/>
        <v>1.08857360571864E-2</v>
      </c>
    </row>
  </sheetData>
  <mergeCells count="1">
    <mergeCell ref="A4:B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4"/>
  <sheetViews>
    <sheetView showGridLines="0" workbookViewId="0">
      <selection activeCell="H9" sqref="H9"/>
    </sheetView>
  </sheetViews>
  <sheetFormatPr defaultColWidth="8.85546875" defaultRowHeight="12.75" x14ac:dyDescent="0.2"/>
  <cols>
    <col min="1" max="3" width="25.42578125" customWidth="1"/>
    <col min="4" max="4" width="20.42578125" bestFit="1" customWidth="1"/>
    <col min="5" max="5" width="17.42578125" customWidth="1"/>
  </cols>
  <sheetData>
    <row r="1" spans="1:9" s="32" customFormat="1" ht="25.5" customHeight="1" x14ac:dyDescent="0.45">
      <c r="A1" s="31" t="s">
        <v>1502</v>
      </c>
      <c r="C1" s="33">
        <f>Data!B2</f>
        <v>46074.959041168979</v>
      </c>
    </row>
    <row r="2" spans="1:9" s="13" customFormat="1" ht="25.5" customHeight="1" x14ac:dyDescent="0.5">
      <c r="A2" s="30" t="str">
        <f>Data!B1</f>
        <v>Sanjaya ( Demo Database)</v>
      </c>
      <c r="B2" s="12"/>
      <c r="C2" s="17"/>
      <c r="D2" s="17"/>
    </row>
    <row r="3" spans="1:9" s="14" customFormat="1" ht="17.45" customHeight="1" x14ac:dyDescent="0.3">
      <c r="C3" s="18"/>
      <c r="D3" s="18"/>
    </row>
    <row r="4" spans="1:9" s="14" customFormat="1" ht="17.45" customHeight="1" x14ac:dyDescent="0.3">
      <c r="A4" s="48" t="s">
        <v>593</v>
      </c>
      <c r="B4" s="48"/>
      <c r="C4" s="19"/>
      <c r="D4" s="18"/>
    </row>
    <row r="5" spans="1:9" s="14" customFormat="1" ht="17.45" customHeight="1" x14ac:dyDescent="0.3">
      <c r="A5" s="27" t="s">
        <v>1505</v>
      </c>
      <c r="B5" s="29">
        <f>Data!B3</f>
        <v>45678</v>
      </c>
      <c r="C5" s="19"/>
      <c r="D5" s="18"/>
      <c r="I5" s="41"/>
    </row>
    <row r="6" spans="1:9" s="14" customFormat="1" ht="17.45" customHeight="1" x14ac:dyDescent="0.3">
      <c r="A6" s="27" t="s">
        <v>1507</v>
      </c>
      <c r="B6" s="29">
        <f>Data!B4</f>
        <v>46074.999988425923</v>
      </c>
      <c r="C6" s="19"/>
      <c r="D6" s="18"/>
    </row>
    <row r="7" spans="1:9" s="14" customFormat="1" ht="17.45" customHeight="1" x14ac:dyDescent="0.3">
      <c r="A7" s="27" t="s">
        <v>1508</v>
      </c>
      <c r="B7" s="28">
        <f>B6-B5</f>
        <v>396.99998842592322</v>
      </c>
      <c r="C7" s="19"/>
      <c r="D7" s="18"/>
    </row>
    <row r="8" spans="1:9" s="6" customFormat="1" ht="17.45" customHeight="1" x14ac:dyDescent="0.25"/>
    <row r="9" spans="1:9" s="36" customFormat="1" ht="18" customHeight="1" x14ac:dyDescent="0.3">
      <c r="A9" s="44" t="s">
        <v>304</v>
      </c>
      <c r="B9" s="45" t="s">
        <v>1509</v>
      </c>
      <c r="C9" s="45" t="s">
        <v>1506</v>
      </c>
    </row>
    <row r="10" spans="1:9" ht="16.5" x14ac:dyDescent="0.3">
      <c r="A10" s="42" t="s">
        <v>1514</v>
      </c>
      <c r="B10" s="43">
        <v>0.33390046296296294</v>
      </c>
      <c r="C10" s="47">
        <v>0.13390797395086312</v>
      </c>
    </row>
    <row r="11" spans="1:9" ht="16.5" x14ac:dyDescent="0.3">
      <c r="A11" s="42" t="s">
        <v>1515</v>
      </c>
      <c r="B11" s="43">
        <v>0.31540509259259258</v>
      </c>
      <c r="C11" s="47">
        <v>0.11854961499978249</v>
      </c>
    </row>
    <row r="12" spans="1:9" ht="16.5" x14ac:dyDescent="0.3">
      <c r="A12" s="42" t="s">
        <v>1516</v>
      </c>
      <c r="B12" s="43">
        <v>0.27041666666666669</v>
      </c>
      <c r="C12" s="47">
        <v>0.14084795727057348</v>
      </c>
    </row>
    <row r="13" spans="1:9" ht="16.5" x14ac:dyDescent="0.3">
      <c r="A13" s="42" t="s">
        <v>1517</v>
      </c>
      <c r="B13" s="43">
        <v>0.25844907407407408</v>
      </c>
      <c r="C13" s="47">
        <v>0.15524409405025097</v>
      </c>
    </row>
    <row r="14" spans="1:9" ht="16.5" x14ac:dyDescent="0.3">
      <c r="A14" s="42" t="s">
        <v>1518</v>
      </c>
      <c r="B14" s="43">
        <v>0.2439699074074074</v>
      </c>
      <c r="C14" s="47">
        <v>0.25827676624108609</v>
      </c>
    </row>
    <row r="15" spans="1:9" ht="16.5" x14ac:dyDescent="0.3">
      <c r="A15" s="42" t="s">
        <v>1519</v>
      </c>
      <c r="B15" s="43">
        <v>0.23974537037037036</v>
      </c>
      <c r="C15" s="47">
        <v>0.27004758490320058</v>
      </c>
    </row>
    <row r="16" spans="1:9" ht="16.5" x14ac:dyDescent="0.3">
      <c r="A16" s="42" t="s">
        <v>1520</v>
      </c>
      <c r="B16" s="43">
        <v>0.18899305555555557</v>
      </c>
      <c r="C16" s="47">
        <v>0.13610562376534724</v>
      </c>
    </row>
    <row r="17" spans="1:3" ht="16.5" x14ac:dyDescent="0.3">
      <c r="A17" s="42" t="s">
        <v>1521</v>
      </c>
      <c r="B17" s="43">
        <v>0.17064814814814816</v>
      </c>
      <c r="C17" s="47">
        <v>7.8295178771513388E-2</v>
      </c>
    </row>
    <row r="18" spans="1:3" ht="16.5" x14ac:dyDescent="0.3">
      <c r="A18" s="42" t="s">
        <v>1522</v>
      </c>
      <c r="B18" s="43">
        <v>0.16199074074074074</v>
      </c>
      <c r="C18" s="47">
        <v>0.10970543510636629</v>
      </c>
    </row>
    <row r="19" spans="1:3" ht="16.5" x14ac:dyDescent="0.3">
      <c r="A19" s="42" t="s">
        <v>1523</v>
      </c>
      <c r="B19" s="43">
        <v>0.15645833333333334</v>
      </c>
      <c r="C19" s="47">
        <v>9.355859004616332E-2</v>
      </c>
    </row>
    <row r="20" spans="1:3" ht="16.5" x14ac:dyDescent="0.3">
      <c r="A20" s="42" t="s">
        <v>1524</v>
      </c>
      <c r="B20" s="43">
        <v>0.1560300925925926</v>
      </c>
      <c r="C20" s="47">
        <v>9.0548827587133354E-2</v>
      </c>
    </row>
    <row r="21" spans="1:3" ht="16.5" x14ac:dyDescent="0.3">
      <c r="A21" s="42" t="s">
        <v>1525</v>
      </c>
      <c r="B21" s="43">
        <v>0.15285879629629628</v>
      </c>
      <c r="C21" s="47">
        <v>0.11864848354175651</v>
      </c>
    </row>
    <row r="22" spans="1:3" ht="16.5" x14ac:dyDescent="0.3">
      <c r="A22" s="42" t="s">
        <v>1526</v>
      </c>
      <c r="B22" s="43">
        <v>0.14951388888888889</v>
      </c>
      <c r="C22" s="47">
        <v>8.4455660451371636E-2</v>
      </c>
    </row>
    <row r="23" spans="1:3" ht="16.5" x14ac:dyDescent="0.3">
      <c r="A23" s="42" t="s">
        <v>1527</v>
      </c>
      <c r="B23" s="43">
        <v>0.13878472222222221</v>
      </c>
      <c r="C23" s="47">
        <v>6.7566349242125429E-2</v>
      </c>
    </row>
    <row r="24" spans="1:3" ht="16.5" x14ac:dyDescent="0.3">
      <c r="A24" s="42" t="s">
        <v>1528</v>
      </c>
      <c r="B24" s="43">
        <v>0.13670138888888889</v>
      </c>
      <c r="C24" s="47">
        <v>6.2292332521122748E-2</v>
      </c>
    </row>
  </sheetData>
  <mergeCells count="1">
    <mergeCell ref="A4:B4"/>
  </mergeCell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61"/>
  <sheetViews>
    <sheetView workbookViewId="0"/>
  </sheetViews>
  <sheetFormatPr defaultColWidth="8.85546875" defaultRowHeight="12.75" x14ac:dyDescent="0.2"/>
  <cols>
    <col min="1" max="7" width="30.140625" customWidth="1"/>
    <col min="8" max="10" width="30.140625" style="9" customWidth="1"/>
    <col min="11" max="24" width="30.140625" customWidth="1"/>
  </cols>
  <sheetData>
    <row r="1" spans="1:24" s="7" customFormat="1" x14ac:dyDescent="0.2">
      <c r="A1" s="7" t="s">
        <v>14</v>
      </c>
      <c r="B1" s="7" t="s">
        <v>1007</v>
      </c>
      <c r="C1" s="7" t="s">
        <v>15</v>
      </c>
      <c r="D1" s="7" t="s">
        <v>16</v>
      </c>
      <c r="E1" s="7" t="s">
        <v>17</v>
      </c>
      <c r="F1" s="8" t="s">
        <v>257</v>
      </c>
      <c r="G1" s="7" t="s">
        <v>303</v>
      </c>
      <c r="H1" s="7" t="s">
        <v>343</v>
      </c>
      <c r="I1" s="8" t="s">
        <v>390</v>
      </c>
      <c r="J1" s="8" t="s">
        <v>475</v>
      </c>
      <c r="K1" s="7" t="s">
        <v>494</v>
      </c>
      <c r="L1" s="7" t="s">
        <v>549</v>
      </c>
      <c r="M1" s="7" t="s">
        <v>599</v>
      </c>
      <c r="N1" s="7" t="s">
        <v>600</v>
      </c>
      <c r="O1" s="7" t="s">
        <v>825</v>
      </c>
      <c r="P1" s="7" t="s">
        <v>909</v>
      </c>
      <c r="Q1" s="7" t="s">
        <v>969</v>
      </c>
      <c r="R1" s="7" t="s">
        <v>1010</v>
      </c>
      <c r="S1" s="7" t="s">
        <v>1071</v>
      </c>
      <c r="T1" s="7" t="s">
        <v>1124</v>
      </c>
      <c r="U1" s="7" t="s">
        <v>1125</v>
      </c>
      <c r="V1" s="7" t="s">
        <v>1126</v>
      </c>
      <c r="W1" s="7" t="s">
        <v>1127</v>
      </c>
      <c r="X1" s="7" t="s">
        <v>1128</v>
      </c>
    </row>
    <row r="2" spans="1:24" x14ac:dyDescent="0.2">
      <c r="A2" t="s">
        <v>18</v>
      </c>
      <c r="B2" t="s">
        <v>64</v>
      </c>
      <c r="C2" t="s">
        <v>65</v>
      </c>
      <c r="D2" t="s">
        <v>66</v>
      </c>
      <c r="E2" t="s">
        <v>67</v>
      </c>
      <c r="F2" t="s">
        <v>258</v>
      </c>
      <c r="G2" t="s">
        <v>304</v>
      </c>
      <c r="H2" s="9" t="s">
        <v>304</v>
      </c>
      <c r="I2" s="9" t="s">
        <v>396</v>
      </c>
      <c r="J2" s="9" t="s">
        <v>434</v>
      </c>
      <c r="K2" t="s">
        <v>495</v>
      </c>
      <c r="L2" t="s">
        <v>683</v>
      </c>
      <c r="M2" t="s">
        <v>684</v>
      </c>
      <c r="N2" t="s">
        <v>685</v>
      </c>
      <c r="O2" t="s">
        <v>826</v>
      </c>
      <c r="P2" t="s">
        <v>304</v>
      </c>
      <c r="Q2" t="s">
        <v>64</v>
      </c>
      <c r="R2" t="s">
        <v>1011</v>
      </c>
      <c r="S2" t="s">
        <v>67</v>
      </c>
      <c r="T2" t="s">
        <v>66</v>
      </c>
      <c r="U2" t="s">
        <v>1129</v>
      </c>
      <c r="V2" t="s">
        <v>1130</v>
      </c>
      <c r="W2" t="s">
        <v>1131</v>
      </c>
      <c r="X2" t="s">
        <v>684</v>
      </c>
    </row>
    <row r="3" spans="1:24" x14ac:dyDescent="0.2">
      <c r="A3" t="s">
        <v>19</v>
      </c>
      <c r="B3" t="s">
        <v>68</v>
      </c>
      <c r="C3" t="s">
        <v>69</v>
      </c>
      <c r="D3" t="s">
        <v>70</v>
      </c>
      <c r="E3" t="s">
        <v>71</v>
      </c>
      <c r="F3" t="s">
        <v>259</v>
      </c>
      <c r="G3" t="s">
        <v>69</v>
      </c>
      <c r="H3" s="9" t="s">
        <v>344</v>
      </c>
      <c r="I3" s="9" t="s">
        <v>391</v>
      </c>
      <c r="J3" s="9" t="s">
        <v>476</v>
      </c>
      <c r="K3" t="s">
        <v>496</v>
      </c>
      <c r="L3" t="s">
        <v>550</v>
      </c>
      <c r="M3" t="s">
        <v>686</v>
      </c>
      <c r="N3" t="s">
        <v>687</v>
      </c>
      <c r="O3" t="s">
        <v>550</v>
      </c>
      <c r="P3" t="s">
        <v>910</v>
      </c>
      <c r="Q3" t="s">
        <v>68</v>
      </c>
      <c r="R3" t="s">
        <v>1012</v>
      </c>
      <c r="S3" t="s">
        <v>1072</v>
      </c>
      <c r="T3" t="s">
        <v>70</v>
      </c>
      <c r="U3" t="s">
        <v>1132</v>
      </c>
      <c r="V3" t="s">
        <v>1133</v>
      </c>
      <c r="W3" t="s">
        <v>70</v>
      </c>
      <c r="X3" t="s">
        <v>686</v>
      </c>
    </row>
    <row r="4" spans="1:24" x14ac:dyDescent="0.2">
      <c r="A4" t="s">
        <v>20</v>
      </c>
      <c r="B4" t="s">
        <v>72</v>
      </c>
      <c r="C4" t="s">
        <v>73</v>
      </c>
      <c r="D4" t="s">
        <v>74</v>
      </c>
      <c r="E4" t="s">
        <v>75</v>
      </c>
      <c r="F4" t="s">
        <v>260</v>
      </c>
      <c r="G4" t="s">
        <v>312</v>
      </c>
      <c r="H4" s="9" t="s">
        <v>345</v>
      </c>
      <c r="I4" s="9" t="s">
        <v>397</v>
      </c>
      <c r="J4" s="9" t="s">
        <v>435</v>
      </c>
      <c r="K4" t="s">
        <v>497</v>
      </c>
      <c r="L4" t="s">
        <v>688</v>
      </c>
      <c r="M4" t="s">
        <v>689</v>
      </c>
      <c r="N4" t="s">
        <v>690</v>
      </c>
      <c r="O4" t="s">
        <v>827</v>
      </c>
      <c r="P4" t="s">
        <v>911</v>
      </c>
      <c r="Q4" t="s">
        <v>970</v>
      </c>
      <c r="R4" t="s">
        <v>1013</v>
      </c>
      <c r="S4" t="s">
        <v>1073</v>
      </c>
      <c r="T4" t="s">
        <v>345</v>
      </c>
      <c r="U4" t="s">
        <v>1134</v>
      </c>
      <c r="V4" t="s">
        <v>1135</v>
      </c>
      <c r="W4" t="s">
        <v>345</v>
      </c>
      <c r="X4" t="s">
        <v>1136</v>
      </c>
    </row>
    <row r="5" spans="1:24" x14ac:dyDescent="0.2">
      <c r="A5" t="s">
        <v>21</v>
      </c>
      <c r="B5" t="s">
        <v>76</v>
      </c>
      <c r="C5" t="s">
        <v>77</v>
      </c>
      <c r="D5" t="s">
        <v>78</v>
      </c>
      <c r="E5" t="s">
        <v>79</v>
      </c>
      <c r="F5" t="s">
        <v>261</v>
      </c>
      <c r="G5" t="s">
        <v>313</v>
      </c>
      <c r="H5" s="9" t="s">
        <v>346</v>
      </c>
      <c r="I5" s="9" t="s">
        <v>398</v>
      </c>
      <c r="J5" s="9" t="s">
        <v>436</v>
      </c>
      <c r="K5" t="s">
        <v>498</v>
      </c>
      <c r="L5" t="s">
        <v>551</v>
      </c>
      <c r="M5" t="s">
        <v>691</v>
      </c>
      <c r="N5" t="s">
        <v>692</v>
      </c>
      <c r="O5" t="s">
        <v>828</v>
      </c>
      <c r="P5" t="s">
        <v>912</v>
      </c>
      <c r="Q5" t="s">
        <v>971</v>
      </c>
      <c r="R5" t="s">
        <v>1014</v>
      </c>
      <c r="S5" t="s">
        <v>1074</v>
      </c>
      <c r="T5" t="s">
        <v>1137</v>
      </c>
      <c r="U5" t="s">
        <v>1138</v>
      </c>
      <c r="V5" t="s">
        <v>1139</v>
      </c>
      <c r="W5" t="s">
        <v>1137</v>
      </c>
      <c r="X5" t="s">
        <v>1140</v>
      </c>
    </row>
    <row r="6" spans="1:24" x14ac:dyDescent="0.2">
      <c r="A6" t="s">
        <v>22</v>
      </c>
      <c r="B6" t="s">
        <v>80</v>
      </c>
      <c r="C6" t="s">
        <v>81</v>
      </c>
      <c r="D6" t="s">
        <v>82</v>
      </c>
      <c r="E6" t="s">
        <v>83</v>
      </c>
      <c r="F6" t="s">
        <v>262</v>
      </c>
      <c r="G6" t="s">
        <v>314</v>
      </c>
      <c r="H6" s="9" t="s">
        <v>347</v>
      </c>
      <c r="I6" s="9" t="s">
        <v>399</v>
      </c>
      <c r="J6" s="9" t="s">
        <v>437</v>
      </c>
      <c r="K6" t="s">
        <v>499</v>
      </c>
      <c r="L6" t="s">
        <v>552</v>
      </c>
      <c r="M6" t="s">
        <v>693</v>
      </c>
      <c r="N6" t="s">
        <v>694</v>
      </c>
      <c r="O6" t="s">
        <v>829</v>
      </c>
      <c r="P6" t="s">
        <v>913</v>
      </c>
      <c r="Q6" t="s">
        <v>972</v>
      </c>
      <c r="R6" t="s">
        <v>1015</v>
      </c>
      <c r="S6" t="s">
        <v>1075</v>
      </c>
      <c r="T6" t="s">
        <v>1141</v>
      </c>
      <c r="U6" t="s">
        <v>1142</v>
      </c>
      <c r="V6" t="s">
        <v>1143</v>
      </c>
      <c r="W6" t="s">
        <v>1144</v>
      </c>
      <c r="X6" t="s">
        <v>1145</v>
      </c>
    </row>
    <row r="7" spans="1:24" x14ac:dyDescent="0.2">
      <c r="A7" t="s">
        <v>23</v>
      </c>
      <c r="B7" t="s">
        <v>84</v>
      </c>
      <c r="C7" t="s">
        <v>85</v>
      </c>
      <c r="D7" t="s">
        <v>86</v>
      </c>
      <c r="E7" t="s">
        <v>87</v>
      </c>
      <c r="F7" t="s">
        <v>263</v>
      </c>
      <c r="G7" t="s">
        <v>315</v>
      </c>
      <c r="H7" s="9" t="s">
        <v>348</v>
      </c>
      <c r="I7" s="9" t="s">
        <v>400</v>
      </c>
      <c r="J7" s="9" t="s">
        <v>438</v>
      </c>
      <c r="K7" t="s">
        <v>500</v>
      </c>
      <c r="L7" t="s">
        <v>553</v>
      </c>
      <c r="M7" t="s">
        <v>695</v>
      </c>
      <c r="N7" t="s">
        <v>696</v>
      </c>
      <c r="O7" t="s">
        <v>830</v>
      </c>
      <c r="P7" t="s">
        <v>914</v>
      </c>
      <c r="Q7" t="s">
        <v>84</v>
      </c>
      <c r="R7" t="s">
        <v>1016</v>
      </c>
      <c r="S7" t="s">
        <v>1076</v>
      </c>
      <c r="T7" t="s">
        <v>1146</v>
      </c>
      <c r="U7" t="s">
        <v>1147</v>
      </c>
      <c r="V7" t="s">
        <v>1148</v>
      </c>
      <c r="W7" t="s">
        <v>1149</v>
      </c>
      <c r="X7" t="s">
        <v>1150</v>
      </c>
    </row>
    <row r="8" spans="1:24" x14ac:dyDescent="0.2">
      <c r="A8" t="s">
        <v>24</v>
      </c>
      <c r="B8" t="s">
        <v>88</v>
      </c>
      <c r="C8" t="s">
        <v>89</v>
      </c>
      <c r="D8" t="s">
        <v>90</v>
      </c>
      <c r="E8" t="s">
        <v>91</v>
      </c>
      <c r="F8" t="s">
        <v>264</v>
      </c>
      <c r="G8" t="s">
        <v>316</v>
      </c>
      <c r="H8" s="9" t="s">
        <v>349</v>
      </c>
      <c r="I8" s="9" t="s">
        <v>401</v>
      </c>
      <c r="J8" s="9" t="s">
        <v>439</v>
      </c>
      <c r="K8" t="s">
        <v>501</v>
      </c>
      <c r="L8" t="s">
        <v>554</v>
      </c>
      <c r="M8" t="s">
        <v>697</v>
      </c>
      <c r="N8" t="s">
        <v>698</v>
      </c>
      <c r="O8" t="s">
        <v>831</v>
      </c>
      <c r="P8" t="s">
        <v>915</v>
      </c>
      <c r="Q8" t="s">
        <v>88</v>
      </c>
      <c r="R8" t="s">
        <v>1017</v>
      </c>
      <c r="S8" t="s">
        <v>1077</v>
      </c>
      <c r="T8" t="s">
        <v>1151</v>
      </c>
      <c r="U8" t="s">
        <v>1152</v>
      </c>
      <c r="V8" t="s">
        <v>1153</v>
      </c>
      <c r="W8" t="s">
        <v>1154</v>
      </c>
      <c r="X8" t="s">
        <v>1155</v>
      </c>
    </row>
    <row r="9" spans="1:24" x14ac:dyDescent="0.2">
      <c r="A9" t="s">
        <v>25</v>
      </c>
      <c r="B9" t="s">
        <v>92</v>
      </c>
      <c r="C9" t="s">
        <v>93</v>
      </c>
      <c r="D9" t="s">
        <v>94</v>
      </c>
      <c r="E9" t="s">
        <v>95</v>
      </c>
      <c r="F9" t="s">
        <v>265</v>
      </c>
      <c r="G9" t="s">
        <v>317</v>
      </c>
      <c r="H9" s="9" t="s">
        <v>350</v>
      </c>
      <c r="I9" s="9" t="s">
        <v>402</v>
      </c>
      <c r="J9" s="9" t="s">
        <v>440</v>
      </c>
      <c r="K9" t="s">
        <v>502</v>
      </c>
      <c r="L9" t="s">
        <v>555</v>
      </c>
      <c r="M9" t="s">
        <v>699</v>
      </c>
      <c r="N9" t="s">
        <v>700</v>
      </c>
      <c r="O9" t="s">
        <v>832</v>
      </c>
      <c r="P9" t="s">
        <v>916</v>
      </c>
      <c r="Q9" t="s">
        <v>92</v>
      </c>
      <c r="R9" t="s">
        <v>1018</v>
      </c>
      <c r="S9" t="s">
        <v>1078</v>
      </c>
      <c r="T9" t="s">
        <v>1156</v>
      </c>
      <c r="U9" t="s">
        <v>1157</v>
      </c>
      <c r="V9" t="s">
        <v>1158</v>
      </c>
      <c r="W9" t="s">
        <v>1159</v>
      </c>
      <c r="X9" t="s">
        <v>1160</v>
      </c>
    </row>
    <row r="10" spans="1:24" x14ac:dyDescent="0.2">
      <c r="A10" t="s">
        <v>26</v>
      </c>
      <c r="B10" t="s">
        <v>96</v>
      </c>
      <c r="C10" t="s">
        <v>97</v>
      </c>
      <c r="D10" t="s">
        <v>98</v>
      </c>
      <c r="E10" t="s">
        <v>99</v>
      </c>
      <c r="F10" t="s">
        <v>266</v>
      </c>
      <c r="G10" t="s">
        <v>305</v>
      </c>
      <c r="H10" s="9" t="s">
        <v>351</v>
      </c>
      <c r="I10" s="9" t="s">
        <v>392</v>
      </c>
      <c r="J10" s="9" t="s">
        <v>477</v>
      </c>
      <c r="K10" t="s">
        <v>503</v>
      </c>
      <c r="L10" t="s">
        <v>556</v>
      </c>
      <c r="M10" t="s">
        <v>701</v>
      </c>
      <c r="N10" t="s">
        <v>702</v>
      </c>
      <c r="O10" t="s">
        <v>833</v>
      </c>
      <c r="P10" t="s">
        <v>917</v>
      </c>
      <c r="Q10" t="s">
        <v>973</v>
      </c>
      <c r="R10" t="s">
        <v>1019</v>
      </c>
      <c r="S10" t="s">
        <v>477</v>
      </c>
      <c r="T10" t="s">
        <v>1161</v>
      </c>
      <c r="U10" t="s">
        <v>1162</v>
      </c>
      <c r="V10" t="s">
        <v>1163</v>
      </c>
      <c r="W10" t="s">
        <v>1164</v>
      </c>
      <c r="X10" t="s">
        <v>1165</v>
      </c>
    </row>
    <row r="11" spans="1:24" x14ac:dyDescent="0.2">
      <c r="A11" t="s">
        <v>27</v>
      </c>
      <c r="B11" t="s">
        <v>100</v>
      </c>
      <c r="C11" t="s">
        <v>101</v>
      </c>
      <c r="D11" t="s">
        <v>102</v>
      </c>
      <c r="E11" t="s">
        <v>103</v>
      </c>
      <c r="F11" t="s">
        <v>267</v>
      </c>
      <c r="G11" t="s">
        <v>101</v>
      </c>
      <c r="H11" s="9" t="s">
        <v>352</v>
      </c>
      <c r="I11" s="9" t="s">
        <v>403</v>
      </c>
      <c r="J11" s="9" t="s">
        <v>441</v>
      </c>
      <c r="K11" t="s">
        <v>504</v>
      </c>
      <c r="L11" t="s">
        <v>557</v>
      </c>
      <c r="M11" t="s">
        <v>703</v>
      </c>
      <c r="N11" t="s">
        <v>704</v>
      </c>
      <c r="O11" t="s">
        <v>834</v>
      </c>
      <c r="P11" t="s">
        <v>918</v>
      </c>
      <c r="Q11" t="s">
        <v>100</v>
      </c>
      <c r="R11" t="s">
        <v>1020</v>
      </c>
      <c r="S11" t="s">
        <v>1079</v>
      </c>
      <c r="T11" t="s">
        <v>352</v>
      </c>
      <c r="U11" t="s">
        <v>1166</v>
      </c>
      <c r="V11" t="s">
        <v>1167</v>
      </c>
      <c r="W11" t="s">
        <v>1168</v>
      </c>
      <c r="X11" t="s">
        <v>1169</v>
      </c>
    </row>
    <row r="12" spans="1:24" x14ac:dyDescent="0.2">
      <c r="A12" t="s">
        <v>28</v>
      </c>
      <c r="B12" t="s">
        <v>104</v>
      </c>
      <c r="C12" t="s">
        <v>105</v>
      </c>
      <c r="D12" t="s">
        <v>106</v>
      </c>
      <c r="E12" t="s">
        <v>107</v>
      </c>
      <c r="F12" t="s">
        <v>268</v>
      </c>
      <c r="G12" t="s">
        <v>105</v>
      </c>
      <c r="H12" s="9" t="s">
        <v>353</v>
      </c>
      <c r="I12" s="9" t="s">
        <v>404</v>
      </c>
      <c r="J12" s="9" t="s">
        <v>442</v>
      </c>
      <c r="K12" t="s">
        <v>505</v>
      </c>
      <c r="L12" t="s">
        <v>558</v>
      </c>
      <c r="M12" t="s">
        <v>705</v>
      </c>
      <c r="N12" t="s">
        <v>706</v>
      </c>
      <c r="O12" t="s">
        <v>835</v>
      </c>
      <c r="P12" t="s">
        <v>919</v>
      </c>
      <c r="Q12" t="s">
        <v>104</v>
      </c>
      <c r="R12" t="s">
        <v>1021</v>
      </c>
      <c r="S12" t="s">
        <v>1080</v>
      </c>
      <c r="T12" t="s">
        <v>353</v>
      </c>
      <c r="U12" t="s">
        <v>1170</v>
      </c>
      <c r="V12" t="s">
        <v>1171</v>
      </c>
      <c r="W12" t="s">
        <v>1172</v>
      </c>
      <c r="X12" t="s">
        <v>1173</v>
      </c>
    </row>
    <row r="13" spans="1:24" x14ac:dyDescent="0.2">
      <c r="A13" t="s">
        <v>29</v>
      </c>
      <c r="B13" t="s">
        <v>108</v>
      </c>
      <c r="C13" t="s">
        <v>109</v>
      </c>
      <c r="D13" t="s">
        <v>110</v>
      </c>
      <c r="E13" t="s">
        <v>111</v>
      </c>
      <c r="F13" t="s">
        <v>269</v>
      </c>
      <c r="G13" t="s">
        <v>109</v>
      </c>
      <c r="H13" s="9" t="s">
        <v>354</v>
      </c>
      <c r="I13" s="9" t="s">
        <v>405</v>
      </c>
      <c r="J13" s="9" t="s">
        <v>443</v>
      </c>
      <c r="K13" t="s">
        <v>506</v>
      </c>
      <c r="L13" t="s">
        <v>559</v>
      </c>
      <c r="M13" t="s">
        <v>707</v>
      </c>
      <c r="N13" t="s">
        <v>708</v>
      </c>
      <c r="O13" t="s">
        <v>836</v>
      </c>
      <c r="P13" t="s">
        <v>920</v>
      </c>
      <c r="Q13" t="s">
        <v>108</v>
      </c>
      <c r="R13" t="s">
        <v>1022</v>
      </c>
      <c r="S13" t="s">
        <v>1081</v>
      </c>
      <c r="T13" t="s">
        <v>354</v>
      </c>
      <c r="U13" t="s">
        <v>1174</v>
      </c>
      <c r="V13" t="s">
        <v>1175</v>
      </c>
      <c r="W13" t="s">
        <v>1176</v>
      </c>
      <c r="X13" t="s">
        <v>1177</v>
      </c>
    </row>
    <row r="14" spans="1:24" x14ac:dyDescent="0.2">
      <c r="A14" t="s">
        <v>30</v>
      </c>
      <c r="B14" t="s">
        <v>112</v>
      </c>
      <c r="C14" t="s">
        <v>113</v>
      </c>
      <c r="D14" t="s">
        <v>114</v>
      </c>
      <c r="E14" t="s">
        <v>115</v>
      </c>
      <c r="F14" t="s">
        <v>270</v>
      </c>
      <c r="G14" t="s">
        <v>113</v>
      </c>
      <c r="H14" s="9" t="s">
        <v>355</v>
      </c>
      <c r="I14" s="9" t="s">
        <v>406</v>
      </c>
      <c r="J14" s="9" t="s">
        <v>444</v>
      </c>
      <c r="K14" t="s">
        <v>507</v>
      </c>
      <c r="L14" t="s">
        <v>560</v>
      </c>
      <c r="M14" t="s">
        <v>709</v>
      </c>
      <c r="N14" t="s">
        <v>710</v>
      </c>
      <c r="O14" t="s">
        <v>837</v>
      </c>
      <c r="P14" t="s">
        <v>921</v>
      </c>
      <c r="Q14" t="s">
        <v>112</v>
      </c>
      <c r="R14" t="s">
        <v>1023</v>
      </c>
      <c r="S14" t="s">
        <v>1082</v>
      </c>
      <c r="T14" t="s">
        <v>355</v>
      </c>
      <c r="U14" t="s">
        <v>1178</v>
      </c>
      <c r="V14" t="s">
        <v>1179</v>
      </c>
      <c r="W14" t="s">
        <v>1180</v>
      </c>
      <c r="X14" t="s">
        <v>1181</v>
      </c>
    </row>
    <row r="15" spans="1:24" x14ac:dyDescent="0.2">
      <c r="A15" t="s">
        <v>31</v>
      </c>
      <c r="B15" t="s">
        <v>116</v>
      </c>
      <c r="C15" t="s">
        <v>117</v>
      </c>
      <c r="D15" t="s">
        <v>118</v>
      </c>
      <c r="E15" t="s">
        <v>119</v>
      </c>
      <c r="F15" t="s">
        <v>271</v>
      </c>
      <c r="G15" t="s">
        <v>117</v>
      </c>
      <c r="H15" s="9" t="s">
        <v>356</v>
      </c>
      <c r="I15" s="9" t="s">
        <v>407</v>
      </c>
      <c r="J15" s="9" t="s">
        <v>445</v>
      </c>
      <c r="K15" t="s">
        <v>508</v>
      </c>
      <c r="L15" t="s">
        <v>561</v>
      </c>
      <c r="M15" t="s">
        <v>711</v>
      </c>
      <c r="N15" t="s">
        <v>712</v>
      </c>
      <c r="O15" t="s">
        <v>838</v>
      </c>
      <c r="P15" t="s">
        <v>922</v>
      </c>
      <c r="Q15" t="s">
        <v>116</v>
      </c>
      <c r="R15" t="s">
        <v>1024</v>
      </c>
      <c r="S15" t="s">
        <v>1083</v>
      </c>
      <c r="T15" t="s">
        <v>356</v>
      </c>
      <c r="U15" t="s">
        <v>1182</v>
      </c>
      <c r="V15" t="s">
        <v>1183</v>
      </c>
      <c r="W15" t="s">
        <v>1184</v>
      </c>
      <c r="X15" t="s">
        <v>1185</v>
      </c>
    </row>
    <row r="16" spans="1:24" x14ac:dyDescent="0.2">
      <c r="A16" t="s">
        <v>32</v>
      </c>
      <c r="B16" t="s">
        <v>120</v>
      </c>
      <c r="C16" t="s">
        <v>121</v>
      </c>
      <c r="D16" t="s">
        <v>122</v>
      </c>
      <c r="E16" t="s">
        <v>123</v>
      </c>
      <c r="F16" t="s">
        <v>272</v>
      </c>
      <c r="G16" t="s">
        <v>121</v>
      </c>
      <c r="H16" s="9" t="s">
        <v>357</v>
      </c>
      <c r="I16" s="9" t="s">
        <v>408</v>
      </c>
      <c r="J16" s="9" t="s">
        <v>446</v>
      </c>
      <c r="K16" t="s">
        <v>509</v>
      </c>
      <c r="L16" t="s">
        <v>562</v>
      </c>
      <c r="M16" t="s">
        <v>713</v>
      </c>
      <c r="N16" t="s">
        <v>714</v>
      </c>
      <c r="O16" t="s">
        <v>839</v>
      </c>
      <c r="P16" t="s">
        <v>923</v>
      </c>
      <c r="Q16" t="s">
        <v>120</v>
      </c>
      <c r="R16" t="s">
        <v>1025</v>
      </c>
      <c r="S16" t="s">
        <v>1084</v>
      </c>
      <c r="T16" t="s">
        <v>357</v>
      </c>
      <c r="U16" t="s">
        <v>1186</v>
      </c>
      <c r="V16" t="s">
        <v>1187</v>
      </c>
      <c r="W16" t="s">
        <v>1188</v>
      </c>
      <c r="X16" t="s">
        <v>1189</v>
      </c>
    </row>
    <row r="17" spans="1:24" x14ac:dyDescent="0.2">
      <c r="A17" t="s">
        <v>33</v>
      </c>
      <c r="B17" t="s">
        <v>124</v>
      </c>
      <c r="C17" t="s">
        <v>125</v>
      </c>
      <c r="D17" t="s">
        <v>126</v>
      </c>
      <c r="E17" t="s">
        <v>127</v>
      </c>
      <c r="F17" t="s">
        <v>273</v>
      </c>
      <c r="G17" t="s">
        <v>318</v>
      </c>
      <c r="H17" s="9" t="s">
        <v>358</v>
      </c>
      <c r="I17" s="9" t="s">
        <v>409</v>
      </c>
      <c r="J17" s="9" t="s">
        <v>447</v>
      </c>
      <c r="K17" t="s">
        <v>510</v>
      </c>
      <c r="L17" t="s">
        <v>563</v>
      </c>
      <c r="M17" t="s">
        <v>715</v>
      </c>
      <c r="N17" t="s">
        <v>716</v>
      </c>
      <c r="O17" t="s">
        <v>840</v>
      </c>
      <c r="P17" t="s">
        <v>924</v>
      </c>
      <c r="Q17" t="s">
        <v>974</v>
      </c>
      <c r="R17" t="s">
        <v>1026</v>
      </c>
      <c r="S17" t="s">
        <v>1085</v>
      </c>
      <c r="T17" t="s">
        <v>1190</v>
      </c>
      <c r="U17" t="s">
        <v>1191</v>
      </c>
      <c r="V17" t="s">
        <v>1192</v>
      </c>
      <c r="W17" t="s">
        <v>1193</v>
      </c>
      <c r="X17" t="s">
        <v>1194</v>
      </c>
    </row>
    <row r="18" spans="1:24" x14ac:dyDescent="0.2">
      <c r="A18" t="s">
        <v>34</v>
      </c>
      <c r="B18" t="s">
        <v>128</v>
      </c>
      <c r="C18" t="s">
        <v>129</v>
      </c>
      <c r="D18" t="s">
        <v>130</v>
      </c>
      <c r="E18" t="s">
        <v>131</v>
      </c>
      <c r="F18" t="s">
        <v>717</v>
      </c>
      <c r="G18" t="s">
        <v>306</v>
      </c>
      <c r="H18" s="9" t="s">
        <v>359</v>
      </c>
      <c r="I18" s="9" t="s">
        <v>393</v>
      </c>
      <c r="J18" s="9" t="s">
        <v>478</v>
      </c>
      <c r="K18" t="s">
        <v>511</v>
      </c>
      <c r="L18" t="s">
        <v>564</v>
      </c>
      <c r="M18" t="s">
        <v>668</v>
      </c>
      <c r="N18" t="s">
        <v>718</v>
      </c>
      <c r="O18" t="s">
        <v>841</v>
      </c>
      <c r="P18" t="s">
        <v>925</v>
      </c>
      <c r="Q18" t="s">
        <v>975</v>
      </c>
      <c r="R18" t="s">
        <v>1027</v>
      </c>
      <c r="S18" t="s">
        <v>1086</v>
      </c>
      <c r="T18" t="s">
        <v>1195</v>
      </c>
      <c r="U18" t="s">
        <v>1196</v>
      </c>
      <c r="V18" t="s">
        <v>1197</v>
      </c>
      <c r="W18" t="s">
        <v>1198</v>
      </c>
      <c r="X18" t="s">
        <v>1199</v>
      </c>
    </row>
    <row r="19" spans="1:24" x14ac:dyDescent="0.2">
      <c r="A19" t="s">
        <v>35</v>
      </c>
      <c r="B19" t="s">
        <v>132</v>
      </c>
      <c r="C19" t="s">
        <v>133</v>
      </c>
      <c r="D19" t="s">
        <v>134</v>
      </c>
      <c r="E19" t="s">
        <v>135</v>
      </c>
      <c r="F19" t="s">
        <v>274</v>
      </c>
      <c r="G19" t="s">
        <v>307</v>
      </c>
      <c r="H19" s="9" t="s">
        <v>360</v>
      </c>
      <c r="I19" s="9" t="s">
        <v>394</v>
      </c>
      <c r="J19" s="9" t="s">
        <v>479</v>
      </c>
      <c r="K19" t="s">
        <v>512</v>
      </c>
      <c r="L19" t="s">
        <v>565</v>
      </c>
      <c r="M19" t="s">
        <v>719</v>
      </c>
      <c r="N19" t="s">
        <v>720</v>
      </c>
      <c r="O19" t="s">
        <v>842</v>
      </c>
      <c r="P19" t="s">
        <v>926</v>
      </c>
      <c r="Q19" t="s">
        <v>976</v>
      </c>
      <c r="R19" t="s">
        <v>1028</v>
      </c>
      <c r="S19" t="s">
        <v>1087</v>
      </c>
      <c r="T19" t="s">
        <v>1200</v>
      </c>
      <c r="U19" t="s">
        <v>1201</v>
      </c>
      <c r="V19" t="s">
        <v>1202</v>
      </c>
      <c r="W19" t="s">
        <v>1203</v>
      </c>
      <c r="X19" t="s">
        <v>1204</v>
      </c>
    </row>
    <row r="20" spans="1:24" x14ac:dyDescent="0.2">
      <c r="A20" t="s">
        <v>36</v>
      </c>
      <c r="B20" t="s">
        <v>136</v>
      </c>
      <c r="C20" t="s">
        <v>137</v>
      </c>
      <c r="D20" t="s">
        <v>138</v>
      </c>
      <c r="E20" t="s">
        <v>139</v>
      </c>
      <c r="F20" t="s">
        <v>721</v>
      </c>
      <c r="G20" t="s">
        <v>308</v>
      </c>
      <c r="H20" s="9" t="s">
        <v>361</v>
      </c>
      <c r="I20" s="9" t="s">
        <v>395</v>
      </c>
      <c r="J20" s="9" t="s">
        <v>480</v>
      </c>
      <c r="K20" t="s">
        <v>513</v>
      </c>
      <c r="L20" t="s">
        <v>566</v>
      </c>
      <c r="M20" t="s">
        <v>722</v>
      </c>
      <c r="N20" t="s">
        <v>723</v>
      </c>
      <c r="O20" t="s">
        <v>843</v>
      </c>
      <c r="P20" t="s">
        <v>927</v>
      </c>
      <c r="Q20" t="s">
        <v>136</v>
      </c>
      <c r="R20" t="s">
        <v>1029</v>
      </c>
      <c r="S20" t="s">
        <v>1088</v>
      </c>
      <c r="T20" t="s">
        <v>1205</v>
      </c>
      <c r="U20" t="s">
        <v>1206</v>
      </c>
      <c r="V20" t="s">
        <v>1207</v>
      </c>
      <c r="W20" t="s">
        <v>1208</v>
      </c>
      <c r="X20" t="s">
        <v>1209</v>
      </c>
    </row>
    <row r="21" spans="1:24" x14ac:dyDescent="0.2">
      <c r="A21" t="s">
        <v>37</v>
      </c>
      <c r="B21" t="s">
        <v>140</v>
      </c>
      <c r="C21" t="s">
        <v>141</v>
      </c>
      <c r="D21" t="s">
        <v>142</v>
      </c>
      <c r="E21" t="s">
        <v>143</v>
      </c>
      <c r="F21" t="s">
        <v>275</v>
      </c>
      <c r="G21" t="s">
        <v>319</v>
      </c>
      <c r="H21" s="9" t="s">
        <v>362</v>
      </c>
      <c r="I21" s="9" t="s">
        <v>410</v>
      </c>
      <c r="J21" s="9" t="s">
        <v>448</v>
      </c>
      <c r="K21" t="s">
        <v>514</v>
      </c>
      <c r="L21" t="s">
        <v>567</v>
      </c>
      <c r="M21" t="s">
        <v>724</v>
      </c>
      <c r="N21" t="s">
        <v>725</v>
      </c>
      <c r="O21" t="s">
        <v>844</v>
      </c>
      <c r="P21" t="s">
        <v>928</v>
      </c>
      <c r="Q21" t="s">
        <v>977</v>
      </c>
      <c r="R21" t="s">
        <v>1030</v>
      </c>
      <c r="S21" t="s">
        <v>1089</v>
      </c>
      <c r="T21" t="s">
        <v>1210</v>
      </c>
      <c r="U21" t="s">
        <v>1211</v>
      </c>
      <c r="V21" t="s">
        <v>1212</v>
      </c>
      <c r="W21" t="s">
        <v>1213</v>
      </c>
      <c r="X21" t="s">
        <v>1214</v>
      </c>
    </row>
    <row r="22" spans="1:24" x14ac:dyDescent="0.2">
      <c r="A22" t="s">
        <v>38</v>
      </c>
      <c r="B22" t="s">
        <v>144</v>
      </c>
      <c r="C22" t="s">
        <v>145</v>
      </c>
      <c r="D22" t="s">
        <v>146</v>
      </c>
      <c r="E22" t="s">
        <v>147</v>
      </c>
      <c r="F22" t="s">
        <v>276</v>
      </c>
      <c r="G22" t="s">
        <v>320</v>
      </c>
      <c r="H22" s="9" t="s">
        <v>363</v>
      </c>
      <c r="I22" s="9" t="s">
        <v>411</v>
      </c>
      <c r="J22" s="9" t="s">
        <v>449</v>
      </c>
      <c r="K22" t="s">
        <v>515</v>
      </c>
      <c r="L22" t="s">
        <v>568</v>
      </c>
      <c r="M22" t="s">
        <v>726</v>
      </c>
      <c r="N22" t="s">
        <v>727</v>
      </c>
      <c r="O22" t="s">
        <v>845</v>
      </c>
      <c r="P22" t="s">
        <v>929</v>
      </c>
      <c r="Q22" t="s">
        <v>978</v>
      </c>
      <c r="R22" t="s">
        <v>1031</v>
      </c>
      <c r="S22" t="s">
        <v>1090</v>
      </c>
      <c r="T22" t="s">
        <v>1215</v>
      </c>
      <c r="U22" t="s">
        <v>1216</v>
      </c>
      <c r="V22" t="s">
        <v>1217</v>
      </c>
      <c r="W22" t="s">
        <v>1218</v>
      </c>
      <c r="X22" t="s">
        <v>1219</v>
      </c>
    </row>
    <row r="23" spans="1:24" x14ac:dyDescent="0.2">
      <c r="A23" t="s">
        <v>39</v>
      </c>
      <c r="B23" t="s">
        <v>148</v>
      </c>
      <c r="C23" t="s">
        <v>149</v>
      </c>
      <c r="D23" t="s">
        <v>150</v>
      </c>
      <c r="E23" t="s">
        <v>151</v>
      </c>
      <c r="F23" t="s">
        <v>277</v>
      </c>
      <c r="G23" t="s">
        <v>321</v>
      </c>
      <c r="H23" s="9" t="s">
        <v>364</v>
      </c>
      <c r="I23" s="9" t="s">
        <v>412</v>
      </c>
      <c r="J23" s="9" t="s">
        <v>450</v>
      </c>
      <c r="K23" t="s">
        <v>516</v>
      </c>
      <c r="L23" t="s">
        <v>569</v>
      </c>
      <c r="M23" t="s">
        <v>728</v>
      </c>
      <c r="N23" t="s">
        <v>729</v>
      </c>
      <c r="O23" t="s">
        <v>846</v>
      </c>
      <c r="P23" t="s">
        <v>930</v>
      </c>
      <c r="Q23" t="s">
        <v>979</v>
      </c>
      <c r="R23" t="s">
        <v>1032</v>
      </c>
      <c r="S23" t="s">
        <v>1091</v>
      </c>
      <c r="T23" t="s">
        <v>1220</v>
      </c>
      <c r="U23" t="s">
        <v>1221</v>
      </c>
      <c r="V23" t="s">
        <v>1222</v>
      </c>
      <c r="W23" t="s">
        <v>1223</v>
      </c>
      <c r="X23" t="s">
        <v>1224</v>
      </c>
    </row>
    <row r="24" spans="1:24" x14ac:dyDescent="0.2">
      <c r="A24" t="s">
        <v>40</v>
      </c>
      <c r="B24" t="s">
        <v>152</v>
      </c>
      <c r="C24" t="s">
        <v>153</v>
      </c>
      <c r="D24" t="s">
        <v>154</v>
      </c>
      <c r="E24" t="s">
        <v>155</v>
      </c>
      <c r="F24" t="s">
        <v>278</v>
      </c>
      <c r="G24" t="s">
        <v>322</v>
      </c>
      <c r="H24" s="9" t="s">
        <v>365</v>
      </c>
      <c r="I24" s="9" t="s">
        <v>413</v>
      </c>
      <c r="J24" s="9" t="s">
        <v>451</v>
      </c>
      <c r="K24" t="s">
        <v>517</v>
      </c>
      <c r="L24" t="s">
        <v>570</v>
      </c>
      <c r="M24" t="s">
        <v>730</v>
      </c>
      <c r="N24" t="s">
        <v>731</v>
      </c>
      <c r="O24" t="s">
        <v>847</v>
      </c>
      <c r="P24" t="s">
        <v>931</v>
      </c>
      <c r="Q24" t="s">
        <v>980</v>
      </c>
      <c r="R24" t="s">
        <v>1033</v>
      </c>
      <c r="S24" t="s">
        <v>1092</v>
      </c>
      <c r="T24" t="s">
        <v>1225</v>
      </c>
      <c r="U24" t="s">
        <v>1226</v>
      </c>
      <c r="V24" t="s">
        <v>1227</v>
      </c>
      <c r="W24" t="s">
        <v>1228</v>
      </c>
      <c r="X24" t="s">
        <v>1229</v>
      </c>
    </row>
    <row r="25" spans="1:24" x14ac:dyDescent="0.2">
      <c r="A25" t="s">
        <v>41</v>
      </c>
      <c r="B25" t="s">
        <v>156</v>
      </c>
      <c r="C25" t="s">
        <v>157</v>
      </c>
      <c r="D25" t="s">
        <v>158</v>
      </c>
      <c r="E25" t="s">
        <v>159</v>
      </c>
      <c r="F25" t="s">
        <v>279</v>
      </c>
      <c r="G25" t="s">
        <v>323</v>
      </c>
      <c r="H25" s="9" t="s">
        <v>366</v>
      </c>
      <c r="I25" s="9" t="s">
        <v>414</v>
      </c>
      <c r="J25" s="9" t="s">
        <v>452</v>
      </c>
      <c r="K25" t="s">
        <v>518</v>
      </c>
      <c r="L25" t="s">
        <v>571</v>
      </c>
      <c r="M25" t="s">
        <v>732</v>
      </c>
      <c r="N25" t="s">
        <v>733</v>
      </c>
      <c r="O25" t="s">
        <v>848</v>
      </c>
      <c r="P25" t="s">
        <v>932</v>
      </c>
      <c r="Q25" t="s">
        <v>981</v>
      </c>
      <c r="R25" t="s">
        <v>1034</v>
      </c>
      <c r="S25" t="s">
        <v>1093</v>
      </c>
      <c r="T25" t="s">
        <v>1230</v>
      </c>
      <c r="U25" t="s">
        <v>1231</v>
      </c>
      <c r="V25" t="s">
        <v>1232</v>
      </c>
      <c r="W25" t="s">
        <v>1233</v>
      </c>
      <c r="X25" t="s">
        <v>1234</v>
      </c>
    </row>
    <row r="26" spans="1:24" x14ac:dyDescent="0.2">
      <c r="A26" t="s">
        <v>42</v>
      </c>
      <c r="B26" t="s">
        <v>160</v>
      </c>
      <c r="C26" t="s">
        <v>161</v>
      </c>
      <c r="D26" t="s">
        <v>162</v>
      </c>
      <c r="E26" t="s">
        <v>163</v>
      </c>
      <c r="F26" t="s">
        <v>280</v>
      </c>
      <c r="G26" t="s">
        <v>324</v>
      </c>
      <c r="H26" s="9" t="s">
        <v>367</v>
      </c>
      <c r="I26" s="9" t="s">
        <v>415</v>
      </c>
      <c r="J26" s="9" t="s">
        <v>453</v>
      </c>
      <c r="K26" t="s">
        <v>519</v>
      </c>
      <c r="L26" t="s">
        <v>572</v>
      </c>
      <c r="M26" t="s">
        <v>734</v>
      </c>
      <c r="N26" t="s">
        <v>735</v>
      </c>
      <c r="O26" t="s">
        <v>849</v>
      </c>
      <c r="P26" t="s">
        <v>933</v>
      </c>
      <c r="Q26" t="s">
        <v>982</v>
      </c>
      <c r="R26" t="s">
        <v>1035</v>
      </c>
      <c r="S26" t="s">
        <v>1094</v>
      </c>
      <c r="T26" t="s">
        <v>1235</v>
      </c>
      <c r="U26" t="s">
        <v>1236</v>
      </c>
      <c r="V26" t="s">
        <v>1237</v>
      </c>
      <c r="W26" t="s">
        <v>1238</v>
      </c>
      <c r="X26" t="s">
        <v>1239</v>
      </c>
    </row>
    <row r="27" spans="1:24" x14ac:dyDescent="0.2">
      <c r="A27" t="s">
        <v>43</v>
      </c>
      <c r="B27" t="s">
        <v>164</v>
      </c>
      <c r="C27" t="s">
        <v>165</v>
      </c>
      <c r="D27" t="s">
        <v>166</v>
      </c>
      <c r="E27" t="s">
        <v>167</v>
      </c>
      <c r="F27" t="s">
        <v>281</v>
      </c>
      <c r="G27" t="s">
        <v>325</v>
      </c>
      <c r="H27" s="9" t="s">
        <v>368</v>
      </c>
      <c r="I27" s="9" t="s">
        <v>416</v>
      </c>
      <c r="J27" s="9" t="s">
        <v>454</v>
      </c>
      <c r="K27" t="s">
        <v>520</v>
      </c>
      <c r="L27" t="s">
        <v>573</v>
      </c>
      <c r="M27" t="s">
        <v>736</v>
      </c>
      <c r="N27" t="s">
        <v>737</v>
      </c>
      <c r="O27" t="s">
        <v>850</v>
      </c>
      <c r="P27" t="s">
        <v>934</v>
      </c>
      <c r="Q27" t="s">
        <v>983</v>
      </c>
      <c r="R27" t="s">
        <v>1036</v>
      </c>
      <c r="S27" t="s">
        <v>1095</v>
      </c>
      <c r="T27" t="s">
        <v>1240</v>
      </c>
      <c r="U27" t="s">
        <v>1241</v>
      </c>
      <c r="V27" t="s">
        <v>1242</v>
      </c>
      <c r="W27" t="s">
        <v>1243</v>
      </c>
      <c r="X27" t="s">
        <v>1244</v>
      </c>
    </row>
    <row r="28" spans="1:24" x14ac:dyDescent="0.2">
      <c r="A28" t="s">
        <v>44</v>
      </c>
      <c r="B28" t="s">
        <v>168</v>
      </c>
      <c r="C28" t="s">
        <v>169</v>
      </c>
      <c r="D28" t="s">
        <v>170</v>
      </c>
      <c r="E28" t="s">
        <v>171</v>
      </c>
      <c r="F28" t="s">
        <v>282</v>
      </c>
      <c r="G28" t="s">
        <v>326</v>
      </c>
      <c r="H28" s="9" t="s">
        <v>369</v>
      </c>
      <c r="I28" s="9" t="s">
        <v>417</v>
      </c>
      <c r="J28" s="9" t="s">
        <v>455</v>
      </c>
      <c r="K28" t="s">
        <v>521</v>
      </c>
      <c r="L28" t="s">
        <v>574</v>
      </c>
      <c r="M28" t="s">
        <v>738</v>
      </c>
      <c r="N28" t="s">
        <v>739</v>
      </c>
      <c r="O28" t="s">
        <v>851</v>
      </c>
      <c r="P28" t="s">
        <v>935</v>
      </c>
      <c r="Q28" t="s">
        <v>984</v>
      </c>
      <c r="R28" t="s">
        <v>1037</v>
      </c>
      <c r="S28" t="s">
        <v>1096</v>
      </c>
      <c r="T28" t="s">
        <v>1245</v>
      </c>
      <c r="U28" t="s">
        <v>1246</v>
      </c>
      <c r="V28" t="s">
        <v>1247</v>
      </c>
      <c r="W28" t="s">
        <v>1248</v>
      </c>
      <c r="X28" t="s">
        <v>1249</v>
      </c>
    </row>
    <row r="29" spans="1:24" x14ac:dyDescent="0.2">
      <c r="A29" t="s">
        <v>45</v>
      </c>
      <c r="B29" t="s">
        <v>172</v>
      </c>
      <c r="C29" t="s">
        <v>173</v>
      </c>
      <c r="D29" t="s">
        <v>174</v>
      </c>
      <c r="E29" t="s">
        <v>175</v>
      </c>
      <c r="F29" t="s">
        <v>283</v>
      </c>
      <c r="G29" t="s">
        <v>327</v>
      </c>
      <c r="H29" s="9" t="s">
        <v>370</v>
      </c>
      <c r="I29" s="9" t="s">
        <v>418</v>
      </c>
      <c r="J29" s="9" t="s">
        <v>456</v>
      </c>
      <c r="K29" t="s">
        <v>522</v>
      </c>
      <c r="L29" t="s">
        <v>575</v>
      </c>
      <c r="M29" t="s">
        <v>740</v>
      </c>
      <c r="N29" t="s">
        <v>741</v>
      </c>
      <c r="O29" t="s">
        <v>852</v>
      </c>
      <c r="P29" t="s">
        <v>936</v>
      </c>
      <c r="Q29" t="s">
        <v>985</v>
      </c>
      <c r="R29" t="s">
        <v>1038</v>
      </c>
      <c r="S29" t="s">
        <v>1097</v>
      </c>
      <c r="T29" t="s">
        <v>1250</v>
      </c>
      <c r="U29" t="s">
        <v>1251</v>
      </c>
      <c r="V29" t="s">
        <v>1252</v>
      </c>
      <c r="W29" t="s">
        <v>1253</v>
      </c>
      <c r="X29" t="s">
        <v>1254</v>
      </c>
    </row>
    <row r="30" spans="1:24" x14ac:dyDescent="0.2">
      <c r="A30" t="s">
        <v>46</v>
      </c>
      <c r="B30" t="s">
        <v>176</v>
      </c>
      <c r="C30" t="s">
        <v>177</v>
      </c>
      <c r="D30" t="s">
        <v>178</v>
      </c>
      <c r="E30" t="s">
        <v>179</v>
      </c>
      <c r="F30" t="s">
        <v>284</v>
      </c>
      <c r="G30" t="s">
        <v>328</v>
      </c>
      <c r="H30" s="9" t="s">
        <v>371</v>
      </c>
      <c r="I30" s="9" t="s">
        <v>419</v>
      </c>
      <c r="J30" s="9" t="s">
        <v>457</v>
      </c>
      <c r="K30" t="s">
        <v>523</v>
      </c>
      <c r="L30" t="s">
        <v>576</v>
      </c>
      <c r="M30" t="s">
        <v>742</v>
      </c>
      <c r="N30" t="s">
        <v>743</v>
      </c>
      <c r="O30" t="s">
        <v>853</v>
      </c>
      <c r="P30" t="s">
        <v>937</v>
      </c>
      <c r="Q30" t="s">
        <v>986</v>
      </c>
      <c r="R30" t="s">
        <v>1039</v>
      </c>
      <c r="S30" t="s">
        <v>1098</v>
      </c>
      <c r="T30" t="s">
        <v>1255</v>
      </c>
      <c r="U30" t="s">
        <v>1256</v>
      </c>
      <c r="V30" t="s">
        <v>1257</v>
      </c>
      <c r="W30" t="s">
        <v>1258</v>
      </c>
      <c r="X30" t="s">
        <v>1259</v>
      </c>
    </row>
    <row r="31" spans="1:24" x14ac:dyDescent="0.2">
      <c r="A31" t="s">
        <v>47</v>
      </c>
      <c r="B31" t="s">
        <v>180</v>
      </c>
      <c r="C31" t="s">
        <v>181</v>
      </c>
      <c r="D31" t="s">
        <v>182</v>
      </c>
      <c r="E31" t="s">
        <v>183</v>
      </c>
      <c r="F31" t="s">
        <v>285</v>
      </c>
      <c r="G31" t="s">
        <v>329</v>
      </c>
      <c r="H31" s="9" t="s">
        <v>372</v>
      </c>
      <c r="I31" s="9" t="s">
        <v>420</v>
      </c>
      <c r="J31" s="9" t="s">
        <v>458</v>
      </c>
      <c r="K31" t="s">
        <v>524</v>
      </c>
      <c r="L31" t="s">
        <v>577</v>
      </c>
      <c r="M31" t="s">
        <v>744</v>
      </c>
      <c r="N31" t="s">
        <v>745</v>
      </c>
      <c r="O31" t="s">
        <v>854</v>
      </c>
      <c r="P31" t="s">
        <v>938</v>
      </c>
      <c r="Q31" t="s">
        <v>987</v>
      </c>
      <c r="R31" t="s">
        <v>1040</v>
      </c>
      <c r="S31" t="s">
        <v>1123</v>
      </c>
      <c r="T31" t="s">
        <v>1260</v>
      </c>
      <c r="U31" t="s">
        <v>1261</v>
      </c>
      <c r="V31" t="s">
        <v>1262</v>
      </c>
      <c r="W31" t="s">
        <v>1263</v>
      </c>
      <c r="X31" t="s">
        <v>1264</v>
      </c>
    </row>
    <row r="32" spans="1:24" x14ac:dyDescent="0.2">
      <c r="A32" t="s">
        <v>48</v>
      </c>
      <c r="B32" t="s">
        <v>184</v>
      </c>
      <c r="C32" t="s">
        <v>185</v>
      </c>
      <c r="D32" t="s">
        <v>186</v>
      </c>
      <c r="E32" t="s">
        <v>187</v>
      </c>
      <c r="F32" t="s">
        <v>286</v>
      </c>
      <c r="G32" t="s">
        <v>330</v>
      </c>
      <c r="H32" s="9" t="s">
        <v>373</v>
      </c>
      <c r="I32" s="9" t="s">
        <v>421</v>
      </c>
      <c r="J32" s="9" t="s">
        <v>459</v>
      </c>
      <c r="K32" t="s">
        <v>525</v>
      </c>
      <c r="L32" t="s">
        <v>578</v>
      </c>
      <c r="M32" t="s">
        <v>746</v>
      </c>
      <c r="N32" t="s">
        <v>747</v>
      </c>
      <c r="O32" t="s">
        <v>855</v>
      </c>
      <c r="P32" t="s">
        <v>939</v>
      </c>
      <c r="Q32" t="s">
        <v>988</v>
      </c>
      <c r="R32" t="s">
        <v>1041</v>
      </c>
      <c r="S32" t="s">
        <v>1099</v>
      </c>
      <c r="T32" t="s">
        <v>1265</v>
      </c>
      <c r="U32" t="s">
        <v>1266</v>
      </c>
      <c r="V32" t="s">
        <v>1267</v>
      </c>
      <c r="W32" t="s">
        <v>1268</v>
      </c>
      <c r="X32" t="s">
        <v>1269</v>
      </c>
    </row>
    <row r="33" spans="1:24" x14ac:dyDescent="0.2">
      <c r="A33" t="s">
        <v>49</v>
      </c>
      <c r="B33" t="s">
        <v>188</v>
      </c>
      <c r="C33" t="s">
        <v>189</v>
      </c>
      <c r="D33" t="s">
        <v>190</v>
      </c>
      <c r="E33" t="s">
        <v>191</v>
      </c>
      <c r="F33" t="s">
        <v>287</v>
      </c>
      <c r="G33" t="s">
        <v>331</v>
      </c>
      <c r="H33" s="9" t="s">
        <v>374</v>
      </c>
      <c r="I33" s="9" t="s">
        <v>422</v>
      </c>
      <c r="J33" s="9" t="s">
        <v>460</v>
      </c>
      <c r="K33" t="s">
        <v>526</v>
      </c>
      <c r="L33" t="s">
        <v>579</v>
      </c>
      <c r="M33" t="s">
        <v>748</v>
      </c>
      <c r="N33" t="s">
        <v>749</v>
      </c>
      <c r="O33" t="s">
        <v>856</v>
      </c>
      <c r="P33" t="s">
        <v>940</v>
      </c>
      <c r="Q33" t="s">
        <v>989</v>
      </c>
      <c r="R33" t="s">
        <v>1042</v>
      </c>
      <c r="S33" t="s">
        <v>1100</v>
      </c>
      <c r="T33" t="s">
        <v>1270</v>
      </c>
      <c r="U33" t="s">
        <v>1271</v>
      </c>
      <c r="V33" t="s">
        <v>1272</v>
      </c>
      <c r="W33" t="s">
        <v>1273</v>
      </c>
      <c r="X33" t="s">
        <v>1274</v>
      </c>
    </row>
    <row r="34" spans="1:24" x14ac:dyDescent="0.2">
      <c r="A34" t="s">
        <v>50</v>
      </c>
      <c r="B34" t="s">
        <v>192</v>
      </c>
      <c r="C34" t="s">
        <v>193</v>
      </c>
      <c r="D34" t="s">
        <v>194</v>
      </c>
      <c r="E34" t="s">
        <v>195</v>
      </c>
      <c r="F34" t="s">
        <v>288</v>
      </c>
      <c r="G34" t="s">
        <v>332</v>
      </c>
      <c r="H34" s="9" t="s">
        <v>375</v>
      </c>
      <c r="I34" s="9" t="s">
        <v>423</v>
      </c>
      <c r="J34" s="9" t="s">
        <v>461</v>
      </c>
      <c r="K34" t="s">
        <v>527</v>
      </c>
      <c r="L34" t="s">
        <v>580</v>
      </c>
      <c r="M34" t="s">
        <v>750</v>
      </c>
      <c r="N34" t="s">
        <v>751</v>
      </c>
      <c r="O34" t="s">
        <v>857</v>
      </c>
      <c r="P34" t="s">
        <v>941</v>
      </c>
      <c r="Q34" t="s">
        <v>990</v>
      </c>
      <c r="R34" t="s">
        <v>1043</v>
      </c>
      <c r="S34" t="s">
        <v>1101</v>
      </c>
      <c r="T34" t="s">
        <v>1275</v>
      </c>
      <c r="U34" t="s">
        <v>1276</v>
      </c>
      <c r="V34" t="s">
        <v>1277</v>
      </c>
      <c r="W34" t="s">
        <v>1278</v>
      </c>
      <c r="X34" t="s">
        <v>1279</v>
      </c>
    </row>
    <row r="35" spans="1:24" x14ac:dyDescent="0.2">
      <c r="A35" t="s">
        <v>51</v>
      </c>
      <c r="B35" t="s">
        <v>196</v>
      </c>
      <c r="C35" t="s">
        <v>197</v>
      </c>
      <c r="D35" t="s">
        <v>198</v>
      </c>
      <c r="E35" t="s">
        <v>199</v>
      </c>
      <c r="F35" t="s">
        <v>289</v>
      </c>
      <c r="G35" t="s">
        <v>333</v>
      </c>
      <c r="H35" s="9" t="s">
        <v>376</v>
      </c>
      <c r="I35" s="9" t="s">
        <v>424</v>
      </c>
      <c r="J35" s="9" t="s">
        <v>462</v>
      </c>
      <c r="K35" t="s">
        <v>528</v>
      </c>
      <c r="L35" t="s">
        <v>581</v>
      </c>
      <c r="M35" t="s">
        <v>752</v>
      </c>
      <c r="N35" t="s">
        <v>753</v>
      </c>
      <c r="O35" t="s">
        <v>858</v>
      </c>
      <c r="P35" t="s">
        <v>942</v>
      </c>
      <c r="Q35" t="s">
        <v>991</v>
      </c>
      <c r="R35" t="s">
        <v>1044</v>
      </c>
      <c r="S35" t="s">
        <v>1102</v>
      </c>
      <c r="T35" t="s">
        <v>1280</v>
      </c>
      <c r="U35" t="s">
        <v>1281</v>
      </c>
      <c r="V35" t="s">
        <v>1282</v>
      </c>
      <c r="W35" t="s">
        <v>1283</v>
      </c>
      <c r="X35" t="s">
        <v>1284</v>
      </c>
    </row>
    <row r="36" spans="1:24" x14ac:dyDescent="0.2">
      <c r="A36" t="s">
        <v>52</v>
      </c>
      <c r="B36" t="s">
        <v>200</v>
      </c>
      <c r="C36" t="s">
        <v>201</v>
      </c>
      <c r="D36" t="s">
        <v>202</v>
      </c>
      <c r="E36" t="s">
        <v>203</v>
      </c>
      <c r="F36" t="s">
        <v>290</v>
      </c>
      <c r="G36" t="s">
        <v>334</v>
      </c>
      <c r="H36" s="9" t="s">
        <v>377</v>
      </c>
      <c r="I36" s="9" t="s">
        <v>425</v>
      </c>
      <c r="J36" s="9" t="s">
        <v>463</v>
      </c>
      <c r="K36" t="s">
        <v>529</v>
      </c>
      <c r="L36" t="s">
        <v>582</v>
      </c>
      <c r="M36" t="s">
        <v>754</v>
      </c>
      <c r="N36" t="s">
        <v>755</v>
      </c>
      <c r="O36" t="s">
        <v>859</v>
      </c>
      <c r="P36" t="s">
        <v>943</v>
      </c>
      <c r="Q36" t="s">
        <v>992</v>
      </c>
      <c r="R36" t="s">
        <v>1045</v>
      </c>
      <c r="S36" t="s">
        <v>1103</v>
      </c>
      <c r="T36" t="s">
        <v>1285</v>
      </c>
      <c r="U36" t="s">
        <v>1286</v>
      </c>
      <c r="V36" t="s">
        <v>1287</v>
      </c>
      <c r="W36" t="s">
        <v>1288</v>
      </c>
      <c r="X36" t="s">
        <v>1289</v>
      </c>
    </row>
    <row r="37" spans="1:24" x14ac:dyDescent="0.2">
      <c r="A37" t="s">
        <v>53</v>
      </c>
      <c r="B37" t="s">
        <v>204</v>
      </c>
      <c r="C37" t="s">
        <v>205</v>
      </c>
      <c r="D37" t="s">
        <v>206</v>
      </c>
      <c r="E37" t="s">
        <v>207</v>
      </c>
      <c r="F37" t="s">
        <v>291</v>
      </c>
      <c r="G37" t="s">
        <v>335</v>
      </c>
      <c r="H37" s="9" t="s">
        <v>378</v>
      </c>
      <c r="I37" s="9" t="s">
        <v>426</v>
      </c>
      <c r="J37" s="9" t="s">
        <v>464</v>
      </c>
      <c r="K37" t="s">
        <v>530</v>
      </c>
      <c r="L37" t="s">
        <v>583</v>
      </c>
      <c r="M37" t="s">
        <v>756</v>
      </c>
      <c r="N37" t="s">
        <v>757</v>
      </c>
      <c r="O37" t="s">
        <v>860</v>
      </c>
      <c r="P37" t="s">
        <v>944</v>
      </c>
      <c r="Q37" t="s">
        <v>993</v>
      </c>
      <c r="R37" t="s">
        <v>1046</v>
      </c>
      <c r="S37" t="s">
        <v>1104</v>
      </c>
      <c r="T37" t="s">
        <v>1290</v>
      </c>
      <c r="U37" t="s">
        <v>1291</v>
      </c>
      <c r="V37" t="s">
        <v>1292</v>
      </c>
      <c r="W37" t="s">
        <v>1293</v>
      </c>
      <c r="X37" t="s">
        <v>1294</v>
      </c>
    </row>
    <row r="38" spans="1:24" x14ac:dyDescent="0.2">
      <c r="A38" t="s">
        <v>54</v>
      </c>
      <c r="B38" t="s">
        <v>208</v>
      </c>
      <c r="C38" t="s">
        <v>209</v>
      </c>
      <c r="D38" t="s">
        <v>210</v>
      </c>
      <c r="E38" t="s">
        <v>211</v>
      </c>
      <c r="F38" t="s">
        <v>292</v>
      </c>
      <c r="G38" t="s">
        <v>336</v>
      </c>
      <c r="H38" s="9" t="s">
        <v>379</v>
      </c>
      <c r="I38" s="9" t="s">
        <v>427</v>
      </c>
      <c r="J38" s="9" t="s">
        <v>465</v>
      </c>
      <c r="K38" t="s">
        <v>531</v>
      </c>
      <c r="L38" t="s">
        <v>584</v>
      </c>
      <c r="M38" t="s">
        <v>758</v>
      </c>
      <c r="N38" t="s">
        <v>759</v>
      </c>
      <c r="O38" t="s">
        <v>861</v>
      </c>
      <c r="P38" t="s">
        <v>945</v>
      </c>
      <c r="Q38" t="s">
        <v>994</v>
      </c>
      <c r="R38" t="s">
        <v>1047</v>
      </c>
      <c r="S38" t="s">
        <v>1105</v>
      </c>
      <c r="T38" t="s">
        <v>1295</v>
      </c>
      <c r="U38" t="s">
        <v>1296</v>
      </c>
      <c r="V38" t="s">
        <v>1297</v>
      </c>
      <c r="W38" t="s">
        <v>1298</v>
      </c>
      <c r="X38" t="s">
        <v>1299</v>
      </c>
    </row>
    <row r="39" spans="1:24" x14ac:dyDescent="0.2">
      <c r="A39" t="s">
        <v>55</v>
      </c>
      <c r="B39" t="s">
        <v>212</v>
      </c>
      <c r="C39" t="s">
        <v>213</v>
      </c>
      <c r="D39" t="s">
        <v>214</v>
      </c>
      <c r="E39" t="s">
        <v>215</v>
      </c>
      <c r="F39" t="s">
        <v>293</v>
      </c>
      <c r="G39" t="s">
        <v>337</v>
      </c>
      <c r="H39" s="9" t="s">
        <v>380</v>
      </c>
      <c r="I39" s="9" t="s">
        <v>428</v>
      </c>
      <c r="J39" s="9" t="s">
        <v>466</v>
      </c>
      <c r="K39" t="s">
        <v>532</v>
      </c>
      <c r="L39" t="s">
        <v>585</v>
      </c>
      <c r="M39" t="s">
        <v>760</v>
      </c>
      <c r="N39" t="s">
        <v>761</v>
      </c>
      <c r="O39" t="s">
        <v>862</v>
      </c>
      <c r="P39" t="s">
        <v>946</v>
      </c>
      <c r="Q39" t="s">
        <v>995</v>
      </c>
      <c r="R39" t="s">
        <v>1048</v>
      </c>
      <c r="S39" t="s">
        <v>1106</v>
      </c>
      <c r="T39" t="s">
        <v>1300</v>
      </c>
      <c r="U39" t="s">
        <v>1301</v>
      </c>
      <c r="V39" t="s">
        <v>1302</v>
      </c>
      <c r="W39" t="s">
        <v>1303</v>
      </c>
      <c r="X39" t="s">
        <v>1304</v>
      </c>
    </row>
    <row r="40" spans="1:24" x14ac:dyDescent="0.2">
      <c r="A40" t="s">
        <v>62</v>
      </c>
      <c r="B40" t="s">
        <v>762</v>
      </c>
      <c r="C40" t="s">
        <v>216</v>
      </c>
      <c r="D40" t="s">
        <v>217</v>
      </c>
      <c r="E40" t="s">
        <v>763</v>
      </c>
      <c r="F40" t="s">
        <v>764</v>
      </c>
      <c r="G40" t="s">
        <v>309</v>
      </c>
      <c r="H40" s="9" t="s">
        <v>381</v>
      </c>
      <c r="I40" s="9" t="s">
        <v>765</v>
      </c>
      <c r="J40" s="9" t="s">
        <v>481</v>
      </c>
      <c r="K40" t="s">
        <v>533</v>
      </c>
      <c r="L40" t="s">
        <v>766</v>
      </c>
      <c r="M40" t="s">
        <v>767</v>
      </c>
      <c r="N40" t="s">
        <v>768</v>
      </c>
      <c r="O40" t="s">
        <v>863</v>
      </c>
      <c r="P40" t="s">
        <v>947</v>
      </c>
      <c r="Q40" t="s">
        <v>996</v>
      </c>
      <c r="R40" t="s">
        <v>1049</v>
      </c>
      <c r="S40" t="s">
        <v>1107</v>
      </c>
      <c r="T40" t="s">
        <v>1305</v>
      </c>
      <c r="U40" t="s">
        <v>1306</v>
      </c>
      <c r="V40" t="s">
        <v>1307</v>
      </c>
      <c r="W40" t="s">
        <v>1308</v>
      </c>
      <c r="X40" t="s">
        <v>1309</v>
      </c>
    </row>
    <row r="41" spans="1:24" ht="25.5" x14ac:dyDescent="0.2">
      <c r="A41" t="s">
        <v>56</v>
      </c>
      <c r="B41" t="s">
        <v>218</v>
      </c>
      <c r="C41" t="s">
        <v>219</v>
      </c>
      <c r="D41" t="s">
        <v>220</v>
      </c>
      <c r="E41" t="s">
        <v>221</v>
      </c>
      <c r="F41" t="s">
        <v>294</v>
      </c>
      <c r="G41" t="s">
        <v>338</v>
      </c>
      <c r="H41" s="9" t="s">
        <v>382</v>
      </c>
      <c r="I41" s="9" t="s">
        <v>429</v>
      </c>
      <c r="J41" s="9" t="s">
        <v>467</v>
      </c>
      <c r="K41" t="s">
        <v>534</v>
      </c>
      <c r="L41" t="s">
        <v>769</v>
      </c>
      <c r="M41" t="s">
        <v>770</v>
      </c>
      <c r="N41" t="s">
        <v>771</v>
      </c>
      <c r="O41" t="s">
        <v>864</v>
      </c>
      <c r="P41" t="s">
        <v>948</v>
      </c>
      <c r="Q41" t="s">
        <v>997</v>
      </c>
      <c r="R41" t="s">
        <v>1050</v>
      </c>
      <c r="S41" t="s">
        <v>1108</v>
      </c>
      <c r="T41" t="s">
        <v>1310</v>
      </c>
      <c r="U41" t="s">
        <v>1311</v>
      </c>
      <c r="V41" t="s">
        <v>1312</v>
      </c>
      <c r="W41" t="s">
        <v>1313</v>
      </c>
      <c r="X41" t="s">
        <v>1314</v>
      </c>
    </row>
    <row r="42" spans="1:24" x14ac:dyDescent="0.2">
      <c r="A42" t="s">
        <v>57</v>
      </c>
      <c r="B42" t="s">
        <v>222</v>
      </c>
      <c r="C42" t="s">
        <v>223</v>
      </c>
      <c r="D42" t="s">
        <v>224</v>
      </c>
      <c r="E42" t="s">
        <v>225</v>
      </c>
      <c r="F42" t="s">
        <v>295</v>
      </c>
      <c r="G42" t="s">
        <v>339</v>
      </c>
      <c r="H42" s="9" t="s">
        <v>383</v>
      </c>
      <c r="I42" s="9" t="s">
        <v>430</v>
      </c>
      <c r="J42" s="9" t="s">
        <v>468</v>
      </c>
      <c r="K42" t="s">
        <v>535</v>
      </c>
      <c r="L42" t="s">
        <v>586</v>
      </c>
      <c r="M42" t="s">
        <v>772</v>
      </c>
      <c r="N42" t="s">
        <v>773</v>
      </c>
      <c r="O42" t="s">
        <v>865</v>
      </c>
      <c r="P42" t="s">
        <v>949</v>
      </c>
      <c r="Q42" t="s">
        <v>222</v>
      </c>
      <c r="R42" t="s">
        <v>1051</v>
      </c>
      <c r="S42" t="s">
        <v>1109</v>
      </c>
      <c r="T42" t="s">
        <v>1315</v>
      </c>
      <c r="U42" t="s">
        <v>1316</v>
      </c>
      <c r="V42" t="s">
        <v>1317</v>
      </c>
      <c r="W42" t="s">
        <v>1318</v>
      </c>
      <c r="X42" t="s">
        <v>1319</v>
      </c>
    </row>
    <row r="43" spans="1:24" x14ac:dyDescent="0.2">
      <c r="A43" s="9" t="s">
        <v>58</v>
      </c>
      <c r="B43" t="s">
        <v>774</v>
      </c>
      <c r="C43" t="s">
        <v>545</v>
      </c>
      <c r="D43" t="s">
        <v>226</v>
      </c>
      <c r="E43" t="s">
        <v>775</v>
      </c>
      <c r="F43" t="s">
        <v>296</v>
      </c>
      <c r="G43" s="9" t="s">
        <v>774</v>
      </c>
      <c r="H43" s="9" t="s">
        <v>384</v>
      </c>
      <c r="I43" s="9" t="s">
        <v>776</v>
      </c>
      <c r="J43" s="9" t="s">
        <v>469</v>
      </c>
      <c r="K43" s="9" t="s">
        <v>536</v>
      </c>
      <c r="L43" t="s">
        <v>587</v>
      </c>
      <c r="M43" t="s">
        <v>296</v>
      </c>
      <c r="N43" t="s">
        <v>777</v>
      </c>
      <c r="O43" t="s">
        <v>866</v>
      </c>
      <c r="P43" t="s">
        <v>950</v>
      </c>
      <c r="Q43" t="s">
        <v>998</v>
      </c>
      <c r="R43" t="s">
        <v>1052</v>
      </c>
      <c r="S43" t="s">
        <v>1110</v>
      </c>
      <c r="T43" t="s">
        <v>1320</v>
      </c>
      <c r="U43" t="s">
        <v>1321</v>
      </c>
      <c r="V43" t="s">
        <v>1322</v>
      </c>
      <c r="W43" t="s">
        <v>1320</v>
      </c>
      <c r="X43" t="s">
        <v>1323</v>
      </c>
    </row>
    <row r="44" spans="1:24" x14ac:dyDescent="0.2">
      <c r="A44" s="9" t="s">
        <v>59</v>
      </c>
      <c r="B44" t="s">
        <v>778</v>
      </c>
      <c r="C44" t="s">
        <v>546</v>
      </c>
      <c r="D44" t="s">
        <v>547</v>
      </c>
      <c r="E44" t="s">
        <v>779</v>
      </c>
      <c r="F44" t="s">
        <v>297</v>
      </c>
      <c r="G44" s="9" t="s">
        <v>780</v>
      </c>
      <c r="H44" s="9" t="s">
        <v>548</v>
      </c>
      <c r="I44" s="9" t="s">
        <v>781</v>
      </c>
      <c r="J44" s="9" t="s">
        <v>470</v>
      </c>
      <c r="K44" s="9" t="s">
        <v>537</v>
      </c>
      <c r="L44" t="s">
        <v>588</v>
      </c>
      <c r="M44" t="s">
        <v>782</v>
      </c>
      <c r="N44" t="s">
        <v>783</v>
      </c>
      <c r="O44" t="s">
        <v>867</v>
      </c>
      <c r="P44" t="s">
        <v>951</v>
      </c>
      <c r="Q44" t="s">
        <v>778</v>
      </c>
      <c r="R44" t="s">
        <v>1053</v>
      </c>
      <c r="S44" t="s">
        <v>470</v>
      </c>
      <c r="T44" t="s">
        <v>1324</v>
      </c>
      <c r="U44" t="s">
        <v>1129</v>
      </c>
      <c r="V44" t="s">
        <v>1325</v>
      </c>
      <c r="W44" t="s">
        <v>1324</v>
      </c>
      <c r="X44" t="s">
        <v>297</v>
      </c>
    </row>
    <row r="45" spans="1:24" x14ac:dyDescent="0.2">
      <c r="A45" t="s">
        <v>60</v>
      </c>
      <c r="B45" t="s">
        <v>227</v>
      </c>
      <c r="C45" t="s">
        <v>228</v>
      </c>
      <c r="D45" t="s">
        <v>229</v>
      </c>
      <c r="E45" t="s">
        <v>230</v>
      </c>
      <c r="F45" t="s">
        <v>298</v>
      </c>
      <c r="G45" t="s">
        <v>340</v>
      </c>
      <c r="H45" s="9" t="s">
        <v>385</v>
      </c>
      <c r="I45" s="9" t="s">
        <v>431</v>
      </c>
      <c r="J45" s="9" t="s">
        <v>471</v>
      </c>
      <c r="K45" t="s">
        <v>538</v>
      </c>
      <c r="L45" t="s">
        <v>589</v>
      </c>
      <c r="M45" t="s">
        <v>784</v>
      </c>
      <c r="N45" t="s">
        <v>785</v>
      </c>
      <c r="O45" t="s">
        <v>868</v>
      </c>
      <c r="P45" t="s">
        <v>952</v>
      </c>
      <c r="Q45" t="s">
        <v>227</v>
      </c>
      <c r="R45" t="s">
        <v>1054</v>
      </c>
      <c r="S45" t="s">
        <v>1111</v>
      </c>
      <c r="T45" t="s">
        <v>1326</v>
      </c>
      <c r="U45" t="s">
        <v>1327</v>
      </c>
      <c r="V45" t="s">
        <v>1328</v>
      </c>
      <c r="W45" t="s">
        <v>1329</v>
      </c>
      <c r="X45" t="s">
        <v>1330</v>
      </c>
    </row>
    <row r="46" spans="1:24" x14ac:dyDescent="0.2">
      <c r="A46" t="s">
        <v>61</v>
      </c>
      <c r="B46" t="s">
        <v>231</v>
      </c>
      <c r="C46" t="s">
        <v>232</v>
      </c>
      <c r="D46" t="s">
        <v>233</v>
      </c>
      <c r="E46" t="s">
        <v>234</v>
      </c>
      <c r="F46" t="s">
        <v>299</v>
      </c>
      <c r="G46" t="s">
        <v>341</v>
      </c>
      <c r="H46" s="9" t="s">
        <v>386</v>
      </c>
      <c r="I46" s="9" t="s">
        <v>432</v>
      </c>
      <c r="J46" s="9" t="s">
        <v>472</v>
      </c>
      <c r="K46" t="s">
        <v>539</v>
      </c>
      <c r="L46" t="s">
        <v>786</v>
      </c>
      <c r="M46" t="s">
        <v>787</v>
      </c>
      <c r="N46" t="s">
        <v>788</v>
      </c>
      <c r="O46" t="s">
        <v>869</v>
      </c>
      <c r="P46" t="s">
        <v>953</v>
      </c>
      <c r="Q46" t="s">
        <v>231</v>
      </c>
      <c r="R46" t="s">
        <v>1055</v>
      </c>
      <c r="S46" t="s">
        <v>1112</v>
      </c>
      <c r="T46" t="s">
        <v>1331</v>
      </c>
      <c r="U46" t="s">
        <v>1332</v>
      </c>
      <c r="V46" t="s">
        <v>1333</v>
      </c>
      <c r="W46" t="s">
        <v>788</v>
      </c>
      <c r="X46" t="s">
        <v>1334</v>
      </c>
    </row>
    <row r="47" spans="1:24" x14ac:dyDescent="0.2">
      <c r="A47" t="s">
        <v>63</v>
      </c>
      <c r="B47" t="s">
        <v>235</v>
      </c>
      <c r="C47" t="s">
        <v>236</v>
      </c>
      <c r="D47" t="s">
        <v>789</v>
      </c>
      <c r="E47" t="s">
        <v>237</v>
      </c>
      <c r="F47" t="s">
        <v>790</v>
      </c>
      <c r="G47" t="s">
        <v>342</v>
      </c>
      <c r="H47" s="9" t="s">
        <v>387</v>
      </c>
      <c r="I47" s="9" t="s">
        <v>791</v>
      </c>
      <c r="J47" s="9" t="s">
        <v>792</v>
      </c>
      <c r="K47" t="s">
        <v>540</v>
      </c>
      <c r="L47" t="s">
        <v>793</v>
      </c>
      <c r="M47" t="s">
        <v>794</v>
      </c>
      <c r="N47" t="s">
        <v>795</v>
      </c>
      <c r="O47" t="s">
        <v>870</v>
      </c>
      <c r="P47" t="s">
        <v>954</v>
      </c>
      <c r="Q47" t="s">
        <v>235</v>
      </c>
      <c r="R47" t="s">
        <v>1056</v>
      </c>
      <c r="S47" t="s">
        <v>237</v>
      </c>
      <c r="T47" t="s">
        <v>1335</v>
      </c>
      <c r="U47" t="s">
        <v>1336</v>
      </c>
      <c r="V47" t="s">
        <v>1337</v>
      </c>
      <c r="W47" t="s">
        <v>1338</v>
      </c>
      <c r="X47" t="s">
        <v>1339</v>
      </c>
    </row>
    <row r="48" spans="1:24" x14ac:dyDescent="0.2">
      <c r="A48" t="s">
        <v>242</v>
      </c>
      <c r="B48" t="s">
        <v>243</v>
      </c>
      <c r="C48" t="s">
        <v>244</v>
      </c>
      <c r="D48" t="s">
        <v>245</v>
      </c>
      <c r="E48" t="s">
        <v>246</v>
      </c>
      <c r="F48" t="s">
        <v>300</v>
      </c>
      <c r="G48" t="s">
        <v>310</v>
      </c>
      <c r="H48" s="9" t="s">
        <v>388</v>
      </c>
      <c r="I48" s="9" t="s">
        <v>310</v>
      </c>
      <c r="J48" s="9" t="s">
        <v>473</v>
      </c>
      <c r="K48" t="s">
        <v>541</v>
      </c>
      <c r="L48" t="s">
        <v>590</v>
      </c>
      <c r="M48" t="s">
        <v>796</v>
      </c>
      <c r="N48" t="s">
        <v>797</v>
      </c>
      <c r="O48" t="s">
        <v>871</v>
      </c>
      <c r="P48" t="s">
        <v>955</v>
      </c>
      <c r="Q48" t="s">
        <v>243</v>
      </c>
      <c r="R48" t="s">
        <v>1057</v>
      </c>
      <c r="S48" t="s">
        <v>473</v>
      </c>
      <c r="T48" t="s">
        <v>1340</v>
      </c>
      <c r="U48" t="s">
        <v>1341</v>
      </c>
      <c r="V48" t="s">
        <v>1342</v>
      </c>
      <c r="W48" t="s">
        <v>1340</v>
      </c>
      <c r="X48" t="s">
        <v>1343</v>
      </c>
    </row>
    <row r="49" spans="1:24" x14ac:dyDescent="0.2">
      <c r="A49" t="s">
        <v>247</v>
      </c>
      <c r="B49" t="s">
        <v>248</v>
      </c>
      <c r="C49" t="s">
        <v>249</v>
      </c>
      <c r="D49" t="s">
        <v>250</v>
      </c>
      <c r="E49" t="s">
        <v>251</v>
      </c>
      <c r="F49" t="s">
        <v>301</v>
      </c>
      <c r="G49" t="s">
        <v>311</v>
      </c>
      <c r="H49" s="9" t="s">
        <v>389</v>
      </c>
      <c r="I49" s="9" t="s">
        <v>433</v>
      </c>
      <c r="J49" s="9" t="s">
        <v>474</v>
      </c>
      <c r="K49" t="s">
        <v>542</v>
      </c>
      <c r="L49" t="s">
        <v>591</v>
      </c>
      <c r="M49" t="s">
        <v>798</v>
      </c>
      <c r="N49" t="s">
        <v>799</v>
      </c>
      <c r="O49" t="s">
        <v>872</v>
      </c>
      <c r="P49" t="s">
        <v>956</v>
      </c>
      <c r="Q49" t="s">
        <v>248</v>
      </c>
      <c r="R49" t="s">
        <v>1058</v>
      </c>
      <c r="S49" t="s">
        <v>474</v>
      </c>
      <c r="T49" t="s">
        <v>1344</v>
      </c>
      <c r="U49" t="s">
        <v>1345</v>
      </c>
      <c r="V49" t="s">
        <v>1346</v>
      </c>
      <c r="W49" t="s">
        <v>1347</v>
      </c>
      <c r="X49" t="s">
        <v>1348</v>
      </c>
    </row>
    <row r="50" spans="1:24" x14ac:dyDescent="0.2">
      <c r="A50" t="s">
        <v>252</v>
      </c>
      <c r="B50" t="s">
        <v>253</v>
      </c>
      <c r="C50" t="s">
        <v>254</v>
      </c>
      <c r="D50" t="s">
        <v>255</v>
      </c>
      <c r="E50" t="s">
        <v>800</v>
      </c>
      <c r="F50" t="s">
        <v>302</v>
      </c>
      <c r="G50" t="s">
        <v>302</v>
      </c>
      <c r="H50" s="9" t="s">
        <v>302</v>
      </c>
      <c r="I50" s="9" t="s">
        <v>302</v>
      </c>
      <c r="J50" s="9" t="s">
        <v>482</v>
      </c>
      <c r="K50" t="s">
        <v>543</v>
      </c>
      <c r="L50" t="s">
        <v>256</v>
      </c>
      <c r="M50" t="s">
        <v>302</v>
      </c>
      <c r="N50" t="s">
        <v>801</v>
      </c>
      <c r="O50" t="s">
        <v>873</v>
      </c>
      <c r="P50" t="s">
        <v>957</v>
      </c>
      <c r="Q50" t="s">
        <v>999</v>
      </c>
      <c r="R50" t="s">
        <v>1059</v>
      </c>
      <c r="S50" t="s">
        <v>1113</v>
      </c>
      <c r="T50" t="s">
        <v>302</v>
      </c>
      <c r="U50" t="s">
        <v>1349</v>
      </c>
      <c r="V50" t="s">
        <v>1350</v>
      </c>
      <c r="W50" t="s">
        <v>801</v>
      </c>
      <c r="X50" t="s">
        <v>302</v>
      </c>
    </row>
    <row r="51" spans="1:24" x14ac:dyDescent="0.2">
      <c r="A51" t="s">
        <v>484</v>
      </c>
      <c r="B51" t="s">
        <v>485</v>
      </c>
      <c r="C51" t="s">
        <v>486</v>
      </c>
      <c r="D51" t="s">
        <v>487</v>
      </c>
      <c r="E51" t="s">
        <v>488</v>
      </c>
      <c r="F51" t="s">
        <v>489</v>
      </c>
      <c r="G51" t="s">
        <v>490</v>
      </c>
      <c r="H51" t="s">
        <v>491</v>
      </c>
      <c r="I51" s="9" t="s">
        <v>492</v>
      </c>
      <c r="J51" s="9" t="s">
        <v>493</v>
      </c>
      <c r="K51" t="s">
        <v>544</v>
      </c>
      <c r="L51" t="s">
        <v>592</v>
      </c>
      <c r="M51" t="s">
        <v>802</v>
      </c>
      <c r="N51" t="s">
        <v>803</v>
      </c>
      <c r="O51" t="s">
        <v>874</v>
      </c>
      <c r="P51" t="s">
        <v>958</v>
      </c>
      <c r="Q51" t="s">
        <v>485</v>
      </c>
      <c r="R51" t="s">
        <v>1060</v>
      </c>
      <c r="S51" t="s">
        <v>1114</v>
      </c>
      <c r="T51" t="s">
        <v>1351</v>
      </c>
      <c r="U51" t="s">
        <v>1352</v>
      </c>
      <c r="V51" t="s">
        <v>1353</v>
      </c>
      <c r="W51" t="s">
        <v>1354</v>
      </c>
      <c r="X51" t="s">
        <v>802</v>
      </c>
    </row>
    <row r="52" spans="1:24" ht="255" x14ac:dyDescent="0.2">
      <c r="A52" s="9" t="s">
        <v>601</v>
      </c>
      <c r="B52" t="s">
        <v>602</v>
      </c>
      <c r="C52" t="s">
        <v>603</v>
      </c>
      <c r="D52" t="s">
        <v>604</v>
      </c>
      <c r="E52" t="s">
        <v>605</v>
      </c>
      <c r="F52" t="s">
        <v>606</v>
      </c>
      <c r="G52" t="s">
        <v>607</v>
      </c>
      <c r="H52" s="9" t="s">
        <v>608</v>
      </c>
      <c r="I52" s="9" t="s">
        <v>609</v>
      </c>
      <c r="J52" s="9" t="s">
        <v>610</v>
      </c>
      <c r="K52" t="s">
        <v>611</v>
      </c>
      <c r="L52" t="s">
        <v>612</v>
      </c>
      <c r="M52" t="s">
        <v>613</v>
      </c>
      <c r="N52" t="s">
        <v>614</v>
      </c>
      <c r="O52" t="s">
        <v>875</v>
      </c>
      <c r="P52" t="s">
        <v>959</v>
      </c>
      <c r="Q52" t="s">
        <v>1000</v>
      </c>
      <c r="R52" t="s">
        <v>1061</v>
      </c>
      <c r="S52" t="s">
        <v>1115</v>
      </c>
      <c r="T52" s="9" t="s">
        <v>1396</v>
      </c>
      <c r="U52" s="9" t="s">
        <v>1397</v>
      </c>
      <c r="V52" s="9" t="s">
        <v>1398</v>
      </c>
      <c r="W52" s="9" t="s">
        <v>1399</v>
      </c>
      <c r="X52" s="9" t="s">
        <v>1400</v>
      </c>
    </row>
    <row r="53" spans="1:24" x14ac:dyDescent="0.2">
      <c r="A53" t="s">
        <v>615</v>
      </c>
      <c r="B53" t="s">
        <v>616</v>
      </c>
      <c r="C53" t="s">
        <v>617</v>
      </c>
      <c r="D53" t="s">
        <v>618</v>
      </c>
      <c r="E53" t="s">
        <v>619</v>
      </c>
      <c r="F53" t="s">
        <v>620</v>
      </c>
      <c r="G53" t="s">
        <v>621</v>
      </c>
      <c r="H53" s="9" t="s">
        <v>622</v>
      </c>
      <c r="I53" s="9" t="s">
        <v>623</v>
      </c>
      <c r="J53" s="9" t="s">
        <v>624</v>
      </c>
      <c r="K53" t="s">
        <v>625</v>
      </c>
      <c r="L53" t="s">
        <v>626</v>
      </c>
      <c r="M53" t="s">
        <v>627</v>
      </c>
      <c r="N53" t="s">
        <v>628</v>
      </c>
      <c r="O53" t="s">
        <v>876</v>
      </c>
      <c r="P53" t="s">
        <v>960</v>
      </c>
      <c r="Q53" t="s">
        <v>616</v>
      </c>
      <c r="R53" t="s">
        <v>1062</v>
      </c>
      <c r="S53" t="s">
        <v>1116</v>
      </c>
      <c r="T53" t="s">
        <v>1355</v>
      </c>
      <c r="U53" t="s">
        <v>1356</v>
      </c>
      <c r="V53" t="s">
        <v>1357</v>
      </c>
      <c r="W53" t="s">
        <v>1358</v>
      </c>
      <c r="X53" t="s">
        <v>1359</v>
      </c>
    </row>
    <row r="54" spans="1:24" ht="25.5" x14ac:dyDescent="0.2">
      <c r="A54" t="s">
        <v>629</v>
      </c>
      <c r="B54" t="s">
        <v>630</v>
      </c>
      <c r="C54" t="s">
        <v>631</v>
      </c>
      <c r="D54" t="s">
        <v>632</v>
      </c>
      <c r="E54" t="s">
        <v>633</v>
      </c>
      <c r="F54" t="s">
        <v>634</v>
      </c>
      <c r="G54" t="s">
        <v>635</v>
      </c>
      <c r="H54" s="9" t="s">
        <v>636</v>
      </c>
      <c r="I54" s="9" t="s">
        <v>637</v>
      </c>
      <c r="J54" s="9" t="s">
        <v>638</v>
      </c>
      <c r="K54" t="s">
        <v>639</v>
      </c>
      <c r="L54" t="s">
        <v>640</v>
      </c>
      <c r="M54" t="s">
        <v>641</v>
      </c>
      <c r="N54" t="s">
        <v>642</v>
      </c>
      <c r="O54" t="s">
        <v>877</v>
      </c>
      <c r="P54" t="s">
        <v>961</v>
      </c>
      <c r="Q54" t="s">
        <v>630</v>
      </c>
      <c r="R54" t="s">
        <v>1063</v>
      </c>
      <c r="S54" t="s">
        <v>1117</v>
      </c>
      <c r="T54" t="s">
        <v>1360</v>
      </c>
      <c r="U54" t="s">
        <v>1361</v>
      </c>
      <c r="V54" t="s">
        <v>1362</v>
      </c>
      <c r="W54" t="s">
        <v>1363</v>
      </c>
      <c r="X54" t="s">
        <v>1364</v>
      </c>
    </row>
    <row r="55" spans="1:24" x14ac:dyDescent="0.2">
      <c r="A55" t="s">
        <v>643</v>
      </c>
      <c r="B55" t="s">
        <v>644</v>
      </c>
      <c r="C55" t="s">
        <v>645</v>
      </c>
      <c r="D55" t="s">
        <v>646</v>
      </c>
      <c r="E55" t="s">
        <v>647</v>
      </c>
      <c r="F55" t="s">
        <v>648</v>
      </c>
      <c r="G55" t="s">
        <v>649</v>
      </c>
      <c r="H55" s="9" t="s">
        <v>650</v>
      </c>
      <c r="I55" s="9" t="s">
        <v>651</v>
      </c>
      <c r="J55" s="9" t="s">
        <v>652</v>
      </c>
      <c r="K55" t="s">
        <v>653</v>
      </c>
      <c r="L55" t="s">
        <v>654</v>
      </c>
      <c r="M55" t="s">
        <v>655</v>
      </c>
      <c r="N55" t="s">
        <v>656</v>
      </c>
      <c r="O55" t="s">
        <v>878</v>
      </c>
      <c r="P55" t="s">
        <v>962</v>
      </c>
      <c r="Q55" t="s">
        <v>1001</v>
      </c>
      <c r="R55" t="s">
        <v>1064</v>
      </c>
      <c r="S55" t="s">
        <v>1118</v>
      </c>
      <c r="T55" t="s">
        <v>1365</v>
      </c>
      <c r="U55" t="s">
        <v>1366</v>
      </c>
      <c r="V55" t="s">
        <v>1367</v>
      </c>
      <c r="W55" t="s">
        <v>1368</v>
      </c>
      <c r="X55" t="s">
        <v>1369</v>
      </c>
    </row>
    <row r="56" spans="1:24" x14ac:dyDescent="0.2">
      <c r="A56" t="s">
        <v>594</v>
      </c>
      <c r="B56" t="s">
        <v>657</v>
      </c>
      <c r="C56" t="s">
        <v>658</v>
      </c>
      <c r="D56" t="s">
        <v>659</v>
      </c>
      <c r="E56" t="s">
        <v>660</v>
      </c>
      <c r="F56" t="s">
        <v>661</v>
      </c>
      <c r="G56" t="s">
        <v>662</v>
      </c>
      <c r="H56" s="9" t="s">
        <v>663</v>
      </c>
      <c r="I56" s="9" t="s">
        <v>664</v>
      </c>
      <c r="J56" s="9" t="s">
        <v>665</v>
      </c>
      <c r="K56" t="s">
        <v>666</v>
      </c>
      <c r="L56" t="s">
        <v>667</v>
      </c>
      <c r="M56" t="s">
        <v>668</v>
      </c>
      <c r="N56" t="s">
        <v>669</v>
      </c>
      <c r="O56" t="s">
        <v>879</v>
      </c>
      <c r="P56" t="s">
        <v>963</v>
      </c>
      <c r="Q56" t="s">
        <v>1002</v>
      </c>
      <c r="R56" t="s">
        <v>1065</v>
      </c>
      <c r="S56" t="s">
        <v>1119</v>
      </c>
      <c r="T56" t="s">
        <v>1370</v>
      </c>
      <c r="U56" t="s">
        <v>1371</v>
      </c>
      <c r="V56" t="s">
        <v>1372</v>
      </c>
      <c r="W56" t="s">
        <v>1373</v>
      </c>
      <c r="X56" t="s">
        <v>1374</v>
      </c>
    </row>
    <row r="57" spans="1:24" x14ac:dyDescent="0.2">
      <c r="A57" t="s">
        <v>824</v>
      </c>
      <c r="B57" t="s">
        <v>657</v>
      </c>
      <c r="C57" t="s">
        <v>658</v>
      </c>
      <c r="D57" t="s">
        <v>659</v>
      </c>
      <c r="E57" t="s">
        <v>660</v>
      </c>
      <c r="F57" t="s">
        <v>661</v>
      </c>
      <c r="G57" t="s">
        <v>662</v>
      </c>
      <c r="H57" s="9" t="s">
        <v>663</v>
      </c>
      <c r="I57" s="9" t="s">
        <v>664</v>
      </c>
      <c r="J57" s="9" t="s">
        <v>665</v>
      </c>
      <c r="K57" t="s">
        <v>666</v>
      </c>
      <c r="L57" t="s">
        <v>667</v>
      </c>
      <c r="M57" t="s">
        <v>668</v>
      </c>
      <c r="N57" t="s">
        <v>669</v>
      </c>
      <c r="O57" t="s">
        <v>880</v>
      </c>
      <c r="P57" t="s">
        <v>964</v>
      </c>
      <c r="Q57" t="s">
        <v>1003</v>
      </c>
      <c r="R57" t="s">
        <v>1066</v>
      </c>
      <c r="S57" t="s">
        <v>1120</v>
      </c>
      <c r="T57" t="s">
        <v>1375</v>
      </c>
      <c r="U57" t="s">
        <v>1376</v>
      </c>
      <c r="V57" t="s">
        <v>1377</v>
      </c>
      <c r="W57" t="s">
        <v>1375</v>
      </c>
      <c r="X57" t="s">
        <v>1378</v>
      </c>
    </row>
    <row r="58" spans="1:24" ht="25.5" x14ac:dyDescent="0.2">
      <c r="A58" t="s">
        <v>595</v>
      </c>
      <c r="B58" t="s">
        <v>670</v>
      </c>
      <c r="C58" t="s">
        <v>671</v>
      </c>
      <c r="D58" t="s">
        <v>672</v>
      </c>
      <c r="E58" t="s">
        <v>673</v>
      </c>
      <c r="F58" t="s">
        <v>674</v>
      </c>
      <c r="G58" t="s">
        <v>675</v>
      </c>
      <c r="H58" s="9" t="s">
        <v>676</v>
      </c>
      <c r="I58" s="9" t="s">
        <v>677</v>
      </c>
      <c r="J58" s="9" t="s">
        <v>678</v>
      </c>
      <c r="K58" t="s">
        <v>679</v>
      </c>
      <c r="L58" t="s">
        <v>680</v>
      </c>
      <c r="M58" t="s">
        <v>681</v>
      </c>
      <c r="N58" t="s">
        <v>682</v>
      </c>
      <c r="O58" t="s">
        <v>881</v>
      </c>
      <c r="P58" t="s">
        <v>965</v>
      </c>
      <c r="Q58" t="s">
        <v>1004</v>
      </c>
      <c r="R58" t="s">
        <v>1067</v>
      </c>
      <c r="S58" t="s">
        <v>1121</v>
      </c>
      <c r="T58" t="s">
        <v>1379</v>
      </c>
      <c r="U58" t="s">
        <v>1380</v>
      </c>
      <c r="V58" t="s">
        <v>1381</v>
      </c>
      <c r="W58" t="s">
        <v>1382</v>
      </c>
      <c r="X58" t="s">
        <v>1383</v>
      </c>
    </row>
    <row r="59" spans="1:24" x14ac:dyDescent="0.2">
      <c r="A59" t="s">
        <v>597</v>
      </c>
      <c r="B59" t="s">
        <v>804</v>
      </c>
      <c r="C59" t="s">
        <v>805</v>
      </c>
      <c r="D59" t="s">
        <v>806</v>
      </c>
      <c r="E59" t="s">
        <v>807</v>
      </c>
      <c r="F59" t="s">
        <v>808</v>
      </c>
      <c r="G59" t="s">
        <v>809</v>
      </c>
      <c r="H59" t="s">
        <v>810</v>
      </c>
      <c r="I59" t="s">
        <v>811</v>
      </c>
      <c r="J59" t="s">
        <v>812</v>
      </c>
      <c r="K59" t="s">
        <v>813</v>
      </c>
      <c r="L59" t="s">
        <v>814</v>
      </c>
      <c r="M59" t="s">
        <v>815</v>
      </c>
      <c r="N59" t="s">
        <v>816</v>
      </c>
      <c r="O59" t="s">
        <v>882</v>
      </c>
      <c r="P59" t="s">
        <v>966</v>
      </c>
      <c r="Q59" t="s">
        <v>1005</v>
      </c>
      <c r="R59" t="s">
        <v>1068</v>
      </c>
      <c r="S59" t="s">
        <v>812</v>
      </c>
      <c r="T59" t="s">
        <v>1384</v>
      </c>
      <c r="U59" t="s">
        <v>1385</v>
      </c>
      <c r="V59" t="s">
        <v>1386</v>
      </c>
      <c r="W59" t="s">
        <v>1387</v>
      </c>
      <c r="X59" t="s">
        <v>808</v>
      </c>
    </row>
    <row r="60" spans="1:24" x14ac:dyDescent="0.2">
      <c r="A60" t="s">
        <v>596</v>
      </c>
      <c r="B60" t="s">
        <v>593</v>
      </c>
      <c r="C60" t="s">
        <v>817</v>
      </c>
      <c r="D60" t="s">
        <v>818</v>
      </c>
      <c r="E60" t="s">
        <v>819</v>
      </c>
      <c r="F60" t="s">
        <v>820</v>
      </c>
      <c r="G60" t="s">
        <v>820</v>
      </c>
      <c r="H60" t="s">
        <v>818</v>
      </c>
      <c r="I60" t="s">
        <v>820</v>
      </c>
      <c r="J60" t="s">
        <v>821</v>
      </c>
      <c r="K60" t="s">
        <v>822</v>
      </c>
      <c r="L60" t="s">
        <v>823</v>
      </c>
      <c r="M60" t="s">
        <v>818</v>
      </c>
      <c r="N60" t="s">
        <v>818</v>
      </c>
      <c r="O60" t="s">
        <v>883</v>
      </c>
      <c r="P60" t="s">
        <v>967</v>
      </c>
      <c r="Q60" t="s">
        <v>593</v>
      </c>
      <c r="R60" t="s">
        <v>1069</v>
      </c>
      <c r="S60" t="s">
        <v>821</v>
      </c>
      <c r="T60" t="s">
        <v>1388</v>
      </c>
      <c r="U60" t="s">
        <v>1389</v>
      </c>
      <c r="V60" t="s">
        <v>1390</v>
      </c>
      <c r="W60" t="s">
        <v>1388</v>
      </c>
      <c r="X60" t="s">
        <v>1390</v>
      </c>
    </row>
    <row r="61" spans="1:24" ht="25.5" x14ac:dyDescent="0.2">
      <c r="A61" t="s">
        <v>894</v>
      </c>
      <c r="B61" t="s">
        <v>895</v>
      </c>
      <c r="C61" t="s">
        <v>896</v>
      </c>
      <c r="D61" t="s">
        <v>897</v>
      </c>
      <c r="E61" t="s">
        <v>898</v>
      </c>
      <c r="F61" t="s">
        <v>899</v>
      </c>
      <c r="G61" t="s">
        <v>900</v>
      </c>
      <c r="H61" s="9" t="s">
        <v>901</v>
      </c>
      <c r="I61" s="9" t="s">
        <v>902</v>
      </c>
      <c r="J61" s="9" t="s">
        <v>903</v>
      </c>
      <c r="K61" t="s">
        <v>904</v>
      </c>
      <c r="L61" t="s">
        <v>905</v>
      </c>
      <c r="M61" t="s">
        <v>906</v>
      </c>
      <c r="N61" t="s">
        <v>907</v>
      </c>
      <c r="O61" t="s">
        <v>908</v>
      </c>
      <c r="P61" t="s">
        <v>968</v>
      </c>
      <c r="Q61" t="s">
        <v>1006</v>
      </c>
      <c r="R61" t="s">
        <v>1070</v>
      </c>
      <c r="S61" t="s">
        <v>1122</v>
      </c>
      <c r="T61" t="s">
        <v>1391</v>
      </c>
      <c r="U61" t="s">
        <v>1392</v>
      </c>
      <c r="V61" t="s">
        <v>1393</v>
      </c>
      <c r="W61" t="s">
        <v>1394</v>
      </c>
      <c r="X61" t="s">
        <v>1395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Summary</vt:lpstr>
      <vt:lpstr>Report</vt:lpstr>
      <vt:lpstr>Graph</vt:lpstr>
      <vt:lpstr>Languages</vt:lpstr>
      <vt:lpstr>AllData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dc:creator>
  <cp:lastModifiedBy>Sanjaya Abeysinghe</cp:lastModifiedBy>
  <dcterms:created xsi:type="dcterms:W3CDTF">2009-10-09T14:28:57Z</dcterms:created>
  <dcterms:modified xsi:type="dcterms:W3CDTF">2026-02-22T04:02:12Z</dcterms:modified>
</cp:coreProperties>
</file>