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anjaya\Downloads\"/>
    </mc:Choice>
  </mc:AlternateContent>
  <xr:revisionPtr revIDLastSave="0" documentId="13_ncr:1_{1A9A549F-52A3-49CE-8324-96FF7962B3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Active Faults Summary" sheetId="8" r:id="rId2"/>
    <sheet name="Report" sheetId="2" r:id="rId3"/>
    <sheet name="Graph" sheetId="9" state="hidden" r:id="rId4"/>
    <sheet name="Languages" sheetId="4" state="hidden" r:id="rId5"/>
  </sheets>
  <definedNames>
    <definedName name="_xlnm._FilterDatabase" localSheetId="0" hidden="1">Data!$A$8:$N$8</definedName>
    <definedName name="_xlnm._FilterDatabase" localSheetId="2" hidden="1">Report!$A$9:$O$313</definedName>
    <definedName name="AllData">Report!$A$9:$T$311</definedName>
    <definedName name="Faults">#REF!</definedName>
    <definedName name="Flag">INDIRECT(#REF!)</definedName>
    <definedName name="No_Engine_Faults">#REF!</definedName>
    <definedName name="Status">#REF!</definedName>
  </definedNames>
  <calcPr calcId="191029"/>
  <pivotCaches>
    <pivotCache cacheId="8" r:id="rId6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9" l="1"/>
  <c r="B7" i="9" s="1"/>
  <c r="B5" i="9"/>
  <c r="A2" i="9"/>
  <c r="C1" i="9"/>
  <c r="S311" i="2"/>
  <c r="R311" i="2"/>
  <c r="Q311" i="2"/>
  <c r="P311" i="2"/>
  <c r="N311" i="2"/>
  <c r="M311" i="2"/>
  <c r="L311" i="2" s="1"/>
  <c r="E311" i="2" s="1"/>
  <c r="K311" i="2"/>
  <c r="I311" i="2"/>
  <c r="J311" i="2" s="1"/>
  <c r="G311" i="2"/>
  <c r="F311" i="2"/>
  <c r="D311" i="2"/>
  <c r="C311" i="2"/>
  <c r="B311" i="2"/>
  <c r="A311" i="2"/>
  <c r="O311" i="2" s="1"/>
  <c r="S310" i="2"/>
  <c r="R310" i="2"/>
  <c r="Q310" i="2"/>
  <c r="P310" i="2"/>
  <c r="O310" i="2"/>
  <c r="N310" i="2"/>
  <c r="M310" i="2"/>
  <c r="L310" i="2"/>
  <c r="K310" i="2"/>
  <c r="G310" i="2"/>
  <c r="F310" i="2"/>
  <c r="D310" i="2"/>
  <c r="C310" i="2"/>
  <c r="B310" i="2"/>
  <c r="A310" i="2"/>
  <c r="S309" i="2"/>
  <c r="R309" i="2"/>
  <c r="Q309" i="2"/>
  <c r="P309" i="2"/>
  <c r="O309" i="2"/>
  <c r="N309" i="2"/>
  <c r="M309" i="2"/>
  <c r="L309" i="2" s="1"/>
  <c r="K309" i="2"/>
  <c r="G309" i="2"/>
  <c r="F309" i="2"/>
  <c r="D309" i="2"/>
  <c r="C309" i="2"/>
  <c r="B309" i="2"/>
  <c r="A309" i="2"/>
  <c r="S308" i="2"/>
  <c r="R308" i="2"/>
  <c r="Q308" i="2"/>
  <c r="P308" i="2"/>
  <c r="O308" i="2"/>
  <c r="N308" i="2"/>
  <c r="M308" i="2"/>
  <c r="L308" i="2"/>
  <c r="I308" i="2" s="1"/>
  <c r="J308" i="2" s="1"/>
  <c r="K308" i="2"/>
  <c r="G308" i="2"/>
  <c r="F308" i="2"/>
  <c r="D308" i="2"/>
  <c r="C308" i="2"/>
  <c r="B308" i="2"/>
  <c r="A308" i="2"/>
  <c r="S307" i="2"/>
  <c r="R307" i="2"/>
  <c r="Q307" i="2"/>
  <c r="P307" i="2"/>
  <c r="N307" i="2"/>
  <c r="M307" i="2"/>
  <c r="L307" i="2" s="1"/>
  <c r="I307" i="2" s="1"/>
  <c r="J307" i="2" s="1"/>
  <c r="K307" i="2"/>
  <c r="G307" i="2"/>
  <c r="F307" i="2"/>
  <c r="D307" i="2"/>
  <c r="C307" i="2"/>
  <c r="B307" i="2"/>
  <c r="A307" i="2"/>
  <c r="O307" i="2" s="1"/>
  <c r="S306" i="2"/>
  <c r="R306" i="2"/>
  <c r="Q306" i="2"/>
  <c r="P306" i="2"/>
  <c r="N306" i="2"/>
  <c r="M306" i="2"/>
  <c r="L306" i="2"/>
  <c r="E306" i="2" s="1"/>
  <c r="K306" i="2"/>
  <c r="G306" i="2"/>
  <c r="F306" i="2"/>
  <c r="D306" i="2"/>
  <c r="C306" i="2"/>
  <c r="B306" i="2"/>
  <c r="A306" i="2"/>
  <c r="O306" i="2" s="1"/>
  <c r="S305" i="2"/>
  <c r="R305" i="2"/>
  <c r="Q305" i="2"/>
  <c r="P305" i="2"/>
  <c r="O305" i="2"/>
  <c r="N305" i="2"/>
  <c r="M305" i="2"/>
  <c r="L305" i="2" s="1"/>
  <c r="K305" i="2"/>
  <c r="G305" i="2"/>
  <c r="F305" i="2"/>
  <c r="D305" i="2"/>
  <c r="C305" i="2"/>
  <c r="B305" i="2"/>
  <c r="A305" i="2"/>
  <c r="S304" i="2"/>
  <c r="R304" i="2"/>
  <c r="Q304" i="2"/>
  <c r="P304" i="2"/>
  <c r="O304" i="2"/>
  <c r="N304" i="2"/>
  <c r="M304" i="2"/>
  <c r="L304" i="2"/>
  <c r="E304" i="2" s="1"/>
  <c r="K304" i="2"/>
  <c r="G304" i="2"/>
  <c r="F304" i="2"/>
  <c r="D304" i="2"/>
  <c r="C304" i="2"/>
  <c r="B304" i="2"/>
  <c r="A304" i="2"/>
  <c r="S303" i="2"/>
  <c r="R303" i="2"/>
  <c r="Q303" i="2"/>
  <c r="P303" i="2"/>
  <c r="N303" i="2"/>
  <c r="M303" i="2"/>
  <c r="L303" i="2" s="1"/>
  <c r="E303" i="2" s="1"/>
  <c r="K303" i="2"/>
  <c r="G303" i="2"/>
  <c r="F303" i="2"/>
  <c r="D303" i="2"/>
  <c r="C303" i="2"/>
  <c r="B303" i="2"/>
  <c r="A303" i="2"/>
  <c r="O303" i="2" s="1"/>
  <c r="S302" i="2"/>
  <c r="R302" i="2"/>
  <c r="Q302" i="2"/>
  <c r="P302" i="2"/>
  <c r="O302" i="2"/>
  <c r="N302" i="2"/>
  <c r="M302" i="2"/>
  <c r="L302" i="2"/>
  <c r="K302" i="2"/>
  <c r="G302" i="2"/>
  <c r="F302" i="2"/>
  <c r="D302" i="2"/>
  <c r="C302" i="2"/>
  <c r="B302" i="2"/>
  <c r="A302" i="2"/>
  <c r="S301" i="2"/>
  <c r="R301" i="2"/>
  <c r="Q301" i="2"/>
  <c r="P301" i="2"/>
  <c r="O301" i="2"/>
  <c r="N301" i="2"/>
  <c r="M301" i="2"/>
  <c r="L301" i="2" s="1"/>
  <c r="K301" i="2"/>
  <c r="G301" i="2"/>
  <c r="F301" i="2"/>
  <c r="D301" i="2"/>
  <c r="C301" i="2"/>
  <c r="B301" i="2"/>
  <c r="A301" i="2"/>
  <c r="S300" i="2"/>
  <c r="R300" i="2"/>
  <c r="Q300" i="2"/>
  <c r="P300" i="2"/>
  <c r="O300" i="2"/>
  <c r="N300" i="2"/>
  <c r="M300" i="2"/>
  <c r="L300" i="2"/>
  <c r="I300" i="2" s="1"/>
  <c r="K300" i="2"/>
  <c r="J300" i="2"/>
  <c r="G300" i="2"/>
  <c r="F300" i="2"/>
  <c r="D300" i="2"/>
  <c r="C300" i="2"/>
  <c r="B300" i="2"/>
  <c r="A300" i="2"/>
  <c r="S299" i="2"/>
  <c r="R299" i="2"/>
  <c r="Q299" i="2"/>
  <c r="P299" i="2"/>
  <c r="N299" i="2"/>
  <c r="M299" i="2"/>
  <c r="L299" i="2" s="1"/>
  <c r="I299" i="2" s="1"/>
  <c r="J299" i="2" s="1"/>
  <c r="K299" i="2"/>
  <c r="G299" i="2"/>
  <c r="F299" i="2"/>
  <c r="E299" i="2"/>
  <c r="D299" i="2"/>
  <c r="C299" i="2"/>
  <c r="B299" i="2"/>
  <c r="A299" i="2"/>
  <c r="O299" i="2" s="1"/>
  <c r="S298" i="2"/>
  <c r="R298" i="2"/>
  <c r="Q298" i="2"/>
  <c r="P298" i="2"/>
  <c r="N298" i="2"/>
  <c r="M298" i="2"/>
  <c r="L298" i="2"/>
  <c r="E298" i="2" s="1"/>
  <c r="K298" i="2"/>
  <c r="G298" i="2"/>
  <c r="F298" i="2"/>
  <c r="D298" i="2"/>
  <c r="C298" i="2"/>
  <c r="B298" i="2"/>
  <c r="A298" i="2"/>
  <c r="O298" i="2" s="1"/>
  <c r="S297" i="2"/>
  <c r="R297" i="2"/>
  <c r="Q297" i="2"/>
  <c r="P297" i="2"/>
  <c r="O297" i="2"/>
  <c r="N297" i="2"/>
  <c r="M297" i="2"/>
  <c r="L297" i="2" s="1"/>
  <c r="K297" i="2"/>
  <c r="G297" i="2"/>
  <c r="F297" i="2"/>
  <c r="D297" i="2"/>
  <c r="C297" i="2"/>
  <c r="B297" i="2"/>
  <c r="A297" i="2"/>
  <c r="S296" i="2"/>
  <c r="R296" i="2"/>
  <c r="Q296" i="2"/>
  <c r="P296" i="2"/>
  <c r="O296" i="2"/>
  <c r="N296" i="2"/>
  <c r="M296" i="2"/>
  <c r="L296" i="2"/>
  <c r="E296" i="2" s="1"/>
  <c r="K296" i="2"/>
  <c r="G296" i="2"/>
  <c r="F296" i="2"/>
  <c r="D296" i="2"/>
  <c r="C296" i="2"/>
  <c r="B296" i="2"/>
  <c r="A296" i="2"/>
  <c r="S295" i="2"/>
  <c r="R295" i="2"/>
  <c r="Q295" i="2"/>
  <c r="P295" i="2"/>
  <c r="N295" i="2"/>
  <c r="M295" i="2"/>
  <c r="L295" i="2" s="1"/>
  <c r="E295" i="2" s="1"/>
  <c r="K295" i="2"/>
  <c r="G295" i="2"/>
  <c r="F295" i="2"/>
  <c r="D295" i="2"/>
  <c r="C295" i="2"/>
  <c r="B295" i="2"/>
  <c r="A295" i="2"/>
  <c r="O295" i="2" s="1"/>
  <c r="S294" i="2"/>
  <c r="R294" i="2"/>
  <c r="Q294" i="2"/>
  <c r="P294" i="2"/>
  <c r="O294" i="2"/>
  <c r="N294" i="2"/>
  <c r="M294" i="2"/>
  <c r="L294" i="2"/>
  <c r="K294" i="2"/>
  <c r="G294" i="2"/>
  <c r="F294" i="2"/>
  <c r="D294" i="2"/>
  <c r="C294" i="2"/>
  <c r="B294" i="2"/>
  <c r="A294" i="2"/>
  <c r="S293" i="2"/>
  <c r="R293" i="2"/>
  <c r="Q293" i="2"/>
  <c r="P293" i="2"/>
  <c r="O293" i="2"/>
  <c r="N293" i="2"/>
  <c r="M293" i="2"/>
  <c r="L293" i="2" s="1"/>
  <c r="K293" i="2"/>
  <c r="G293" i="2"/>
  <c r="F293" i="2"/>
  <c r="D293" i="2"/>
  <c r="C293" i="2"/>
  <c r="B293" i="2"/>
  <c r="A293" i="2"/>
  <c r="S292" i="2"/>
  <c r="R292" i="2"/>
  <c r="Q292" i="2"/>
  <c r="P292" i="2"/>
  <c r="N292" i="2"/>
  <c r="M292" i="2"/>
  <c r="L292" i="2"/>
  <c r="I292" i="2" s="1"/>
  <c r="J292" i="2" s="1"/>
  <c r="K292" i="2"/>
  <c r="G292" i="2"/>
  <c r="F292" i="2"/>
  <c r="D292" i="2"/>
  <c r="C292" i="2"/>
  <c r="B292" i="2"/>
  <c r="A292" i="2"/>
  <c r="O292" i="2" s="1"/>
  <c r="S291" i="2"/>
  <c r="R291" i="2"/>
  <c r="Q291" i="2"/>
  <c r="P291" i="2"/>
  <c r="N291" i="2"/>
  <c r="M291" i="2"/>
  <c r="L291" i="2" s="1"/>
  <c r="I291" i="2" s="1"/>
  <c r="J291" i="2" s="1"/>
  <c r="K291" i="2"/>
  <c r="G291" i="2"/>
  <c r="F291" i="2"/>
  <c r="D291" i="2"/>
  <c r="C291" i="2"/>
  <c r="B291" i="2"/>
  <c r="A291" i="2"/>
  <c r="O291" i="2" s="1"/>
  <c r="S290" i="2"/>
  <c r="R290" i="2"/>
  <c r="Q290" i="2"/>
  <c r="P290" i="2"/>
  <c r="N290" i="2"/>
  <c r="M290" i="2"/>
  <c r="L290" i="2"/>
  <c r="E290" i="2" s="1"/>
  <c r="K290" i="2"/>
  <c r="G290" i="2"/>
  <c r="F290" i="2"/>
  <c r="D290" i="2"/>
  <c r="C290" i="2"/>
  <c r="B290" i="2"/>
  <c r="A290" i="2"/>
  <c r="O290" i="2" s="1"/>
  <c r="S289" i="2"/>
  <c r="R289" i="2"/>
  <c r="Q289" i="2"/>
  <c r="P289" i="2"/>
  <c r="O289" i="2"/>
  <c r="N289" i="2"/>
  <c r="M289" i="2"/>
  <c r="L289" i="2" s="1"/>
  <c r="K289" i="2"/>
  <c r="G289" i="2"/>
  <c r="F289" i="2"/>
  <c r="D289" i="2"/>
  <c r="C289" i="2"/>
  <c r="B289" i="2"/>
  <c r="A289" i="2"/>
  <c r="S288" i="2"/>
  <c r="R288" i="2"/>
  <c r="Q288" i="2"/>
  <c r="P288" i="2"/>
  <c r="O288" i="2"/>
  <c r="N288" i="2"/>
  <c r="M288" i="2"/>
  <c r="L288" i="2"/>
  <c r="E288" i="2" s="1"/>
  <c r="K288" i="2"/>
  <c r="G288" i="2"/>
  <c r="F288" i="2"/>
  <c r="D288" i="2"/>
  <c r="C288" i="2"/>
  <c r="B288" i="2"/>
  <c r="A288" i="2"/>
  <c r="S287" i="2"/>
  <c r="R287" i="2"/>
  <c r="Q287" i="2"/>
  <c r="P287" i="2"/>
  <c r="N287" i="2"/>
  <c r="M287" i="2"/>
  <c r="L287" i="2" s="1"/>
  <c r="E287" i="2" s="1"/>
  <c r="K287" i="2"/>
  <c r="G287" i="2"/>
  <c r="F287" i="2"/>
  <c r="D287" i="2"/>
  <c r="C287" i="2"/>
  <c r="B287" i="2"/>
  <c r="A287" i="2"/>
  <c r="O287" i="2" s="1"/>
  <c r="S286" i="2"/>
  <c r="R286" i="2"/>
  <c r="Q286" i="2"/>
  <c r="P286" i="2"/>
  <c r="O286" i="2"/>
  <c r="N286" i="2"/>
  <c r="M286" i="2"/>
  <c r="L286" i="2"/>
  <c r="K286" i="2"/>
  <c r="G286" i="2"/>
  <c r="F286" i="2"/>
  <c r="D286" i="2"/>
  <c r="C286" i="2"/>
  <c r="B286" i="2"/>
  <c r="A286" i="2"/>
  <c r="S285" i="2"/>
  <c r="R285" i="2"/>
  <c r="Q285" i="2"/>
  <c r="P285" i="2"/>
  <c r="O285" i="2"/>
  <c r="N285" i="2"/>
  <c r="M285" i="2"/>
  <c r="L285" i="2" s="1"/>
  <c r="K285" i="2"/>
  <c r="G285" i="2"/>
  <c r="F285" i="2"/>
  <c r="D285" i="2"/>
  <c r="C285" i="2"/>
  <c r="B285" i="2"/>
  <c r="A285" i="2"/>
  <c r="S284" i="2"/>
  <c r="R284" i="2"/>
  <c r="Q284" i="2"/>
  <c r="P284" i="2"/>
  <c r="N284" i="2"/>
  <c r="M284" i="2"/>
  <c r="L284" i="2"/>
  <c r="I284" i="2" s="1"/>
  <c r="J284" i="2" s="1"/>
  <c r="K284" i="2"/>
  <c r="G284" i="2"/>
  <c r="F284" i="2"/>
  <c r="D284" i="2"/>
  <c r="C284" i="2"/>
  <c r="B284" i="2"/>
  <c r="A284" i="2"/>
  <c r="O284" i="2" s="1"/>
  <c r="S283" i="2"/>
  <c r="R283" i="2"/>
  <c r="Q283" i="2"/>
  <c r="P283" i="2"/>
  <c r="N283" i="2"/>
  <c r="M283" i="2"/>
  <c r="L283" i="2" s="1"/>
  <c r="I283" i="2" s="1"/>
  <c r="J283" i="2" s="1"/>
  <c r="K283" i="2"/>
  <c r="G283" i="2"/>
  <c r="F283" i="2"/>
  <c r="E283" i="2"/>
  <c r="D283" i="2"/>
  <c r="C283" i="2"/>
  <c r="B283" i="2"/>
  <c r="A283" i="2"/>
  <c r="O283" i="2" s="1"/>
  <c r="S282" i="2"/>
  <c r="R282" i="2"/>
  <c r="Q282" i="2"/>
  <c r="P282" i="2"/>
  <c r="N282" i="2"/>
  <c r="M282" i="2"/>
  <c r="L282" i="2"/>
  <c r="E282" i="2" s="1"/>
  <c r="K282" i="2"/>
  <c r="G282" i="2"/>
  <c r="F282" i="2"/>
  <c r="D282" i="2"/>
  <c r="C282" i="2"/>
  <c r="B282" i="2"/>
  <c r="A282" i="2"/>
  <c r="O282" i="2" s="1"/>
  <c r="S281" i="2"/>
  <c r="R281" i="2"/>
  <c r="Q281" i="2"/>
  <c r="P281" i="2"/>
  <c r="O281" i="2"/>
  <c r="N281" i="2"/>
  <c r="M281" i="2"/>
  <c r="L281" i="2" s="1"/>
  <c r="K281" i="2"/>
  <c r="G281" i="2"/>
  <c r="F281" i="2"/>
  <c r="D281" i="2"/>
  <c r="C281" i="2"/>
  <c r="B281" i="2"/>
  <c r="A281" i="2"/>
  <c r="S280" i="2"/>
  <c r="R280" i="2"/>
  <c r="Q280" i="2"/>
  <c r="P280" i="2"/>
  <c r="N280" i="2"/>
  <c r="M280" i="2"/>
  <c r="L280" i="2"/>
  <c r="E280" i="2" s="1"/>
  <c r="K280" i="2"/>
  <c r="G280" i="2"/>
  <c r="F280" i="2"/>
  <c r="D280" i="2"/>
  <c r="C280" i="2"/>
  <c r="B280" i="2"/>
  <c r="A280" i="2"/>
  <c r="O280" i="2" s="1"/>
  <c r="S279" i="2"/>
  <c r="R279" i="2"/>
  <c r="Q279" i="2"/>
  <c r="P279" i="2"/>
  <c r="N279" i="2"/>
  <c r="M279" i="2"/>
  <c r="L279" i="2" s="1"/>
  <c r="E279" i="2" s="1"/>
  <c r="K279" i="2"/>
  <c r="I279" i="2"/>
  <c r="J279" i="2" s="1"/>
  <c r="G279" i="2"/>
  <c r="F279" i="2"/>
  <c r="D279" i="2"/>
  <c r="C279" i="2"/>
  <c r="B279" i="2"/>
  <c r="A279" i="2"/>
  <c r="O279" i="2" s="1"/>
  <c r="S278" i="2"/>
  <c r="R278" i="2"/>
  <c r="Q278" i="2"/>
  <c r="P278" i="2"/>
  <c r="O278" i="2"/>
  <c r="N278" i="2"/>
  <c r="M278" i="2"/>
  <c r="L278" i="2"/>
  <c r="K278" i="2"/>
  <c r="G278" i="2"/>
  <c r="F278" i="2"/>
  <c r="D278" i="2"/>
  <c r="C278" i="2"/>
  <c r="B278" i="2"/>
  <c r="A278" i="2"/>
  <c r="S277" i="2"/>
  <c r="R277" i="2"/>
  <c r="Q277" i="2"/>
  <c r="P277" i="2"/>
  <c r="O277" i="2"/>
  <c r="N277" i="2"/>
  <c r="M277" i="2"/>
  <c r="L277" i="2" s="1"/>
  <c r="K277" i="2"/>
  <c r="G277" i="2"/>
  <c r="F277" i="2"/>
  <c r="D277" i="2"/>
  <c r="C277" i="2"/>
  <c r="B277" i="2"/>
  <c r="A277" i="2"/>
  <c r="S276" i="2"/>
  <c r="R276" i="2"/>
  <c r="Q276" i="2"/>
  <c r="P276" i="2"/>
  <c r="N276" i="2"/>
  <c r="M276" i="2"/>
  <c r="L276" i="2"/>
  <c r="I276" i="2" s="1"/>
  <c r="J276" i="2" s="1"/>
  <c r="K276" i="2"/>
  <c r="G276" i="2"/>
  <c r="F276" i="2"/>
  <c r="D276" i="2"/>
  <c r="C276" i="2"/>
  <c r="B276" i="2"/>
  <c r="A276" i="2"/>
  <c r="O276" i="2" s="1"/>
  <c r="S275" i="2"/>
  <c r="R275" i="2"/>
  <c r="Q275" i="2"/>
  <c r="P275" i="2"/>
  <c r="N275" i="2"/>
  <c r="M275" i="2"/>
  <c r="L275" i="2" s="1"/>
  <c r="K275" i="2"/>
  <c r="I275" i="2"/>
  <c r="J275" i="2" s="1"/>
  <c r="G275" i="2"/>
  <c r="F275" i="2"/>
  <c r="E275" i="2"/>
  <c r="D275" i="2"/>
  <c r="C275" i="2"/>
  <c r="B275" i="2"/>
  <c r="A275" i="2"/>
  <c r="O275" i="2" s="1"/>
  <c r="S274" i="2"/>
  <c r="R274" i="2"/>
  <c r="Q274" i="2"/>
  <c r="P274" i="2"/>
  <c r="N274" i="2"/>
  <c r="M274" i="2"/>
  <c r="L274" i="2"/>
  <c r="K274" i="2"/>
  <c r="G274" i="2"/>
  <c r="F274" i="2"/>
  <c r="D274" i="2"/>
  <c r="C274" i="2"/>
  <c r="B274" i="2"/>
  <c r="A274" i="2"/>
  <c r="O274" i="2" s="1"/>
  <c r="S273" i="2"/>
  <c r="R273" i="2"/>
  <c r="Q273" i="2"/>
  <c r="P273" i="2"/>
  <c r="O273" i="2"/>
  <c r="N273" i="2"/>
  <c r="M273" i="2"/>
  <c r="L273" i="2" s="1"/>
  <c r="K273" i="2"/>
  <c r="G273" i="2"/>
  <c r="F273" i="2"/>
  <c r="D273" i="2"/>
  <c r="C273" i="2"/>
  <c r="B273" i="2"/>
  <c r="A273" i="2"/>
  <c r="S272" i="2"/>
  <c r="R272" i="2"/>
  <c r="Q272" i="2"/>
  <c r="P272" i="2"/>
  <c r="N272" i="2"/>
  <c r="M272" i="2"/>
  <c r="L272" i="2"/>
  <c r="E272" i="2" s="1"/>
  <c r="K272" i="2"/>
  <c r="G272" i="2"/>
  <c r="F272" i="2"/>
  <c r="D272" i="2"/>
  <c r="C272" i="2"/>
  <c r="B272" i="2"/>
  <c r="A272" i="2"/>
  <c r="O272" i="2" s="1"/>
  <c r="S271" i="2"/>
  <c r="R271" i="2"/>
  <c r="Q271" i="2"/>
  <c r="P271" i="2"/>
  <c r="N271" i="2"/>
  <c r="M271" i="2"/>
  <c r="L271" i="2" s="1"/>
  <c r="I271" i="2" s="1"/>
  <c r="J271" i="2" s="1"/>
  <c r="K271" i="2"/>
  <c r="G271" i="2"/>
  <c r="F271" i="2"/>
  <c r="D271" i="2"/>
  <c r="C271" i="2"/>
  <c r="B271" i="2"/>
  <c r="A271" i="2"/>
  <c r="O271" i="2" s="1"/>
  <c r="S270" i="2"/>
  <c r="R270" i="2"/>
  <c r="Q270" i="2"/>
  <c r="P270" i="2"/>
  <c r="O270" i="2"/>
  <c r="N270" i="2"/>
  <c r="M270" i="2"/>
  <c r="L270" i="2"/>
  <c r="K270" i="2"/>
  <c r="G270" i="2"/>
  <c r="F270" i="2"/>
  <c r="D270" i="2"/>
  <c r="C270" i="2"/>
  <c r="B270" i="2"/>
  <c r="A270" i="2"/>
  <c r="S269" i="2"/>
  <c r="R269" i="2"/>
  <c r="Q269" i="2"/>
  <c r="P269" i="2"/>
  <c r="O269" i="2"/>
  <c r="N269" i="2"/>
  <c r="M269" i="2"/>
  <c r="L269" i="2" s="1"/>
  <c r="K269" i="2"/>
  <c r="G269" i="2"/>
  <c r="F269" i="2"/>
  <c r="D269" i="2"/>
  <c r="C269" i="2"/>
  <c r="B269" i="2"/>
  <c r="A269" i="2"/>
  <c r="S268" i="2"/>
  <c r="R268" i="2"/>
  <c r="Q268" i="2"/>
  <c r="P268" i="2"/>
  <c r="N268" i="2"/>
  <c r="M268" i="2"/>
  <c r="L268" i="2"/>
  <c r="I268" i="2" s="1"/>
  <c r="K268" i="2"/>
  <c r="J268" i="2"/>
  <c r="G268" i="2"/>
  <c r="F268" i="2"/>
  <c r="D268" i="2"/>
  <c r="C268" i="2"/>
  <c r="B268" i="2"/>
  <c r="A268" i="2"/>
  <c r="O268" i="2" s="1"/>
  <c r="S267" i="2"/>
  <c r="R267" i="2"/>
  <c r="Q267" i="2"/>
  <c r="P267" i="2"/>
  <c r="N267" i="2"/>
  <c r="M267" i="2"/>
  <c r="L267" i="2" s="1"/>
  <c r="E267" i="2" s="1"/>
  <c r="K267" i="2"/>
  <c r="G267" i="2"/>
  <c r="F267" i="2"/>
  <c r="D267" i="2"/>
  <c r="C267" i="2"/>
  <c r="B267" i="2"/>
  <c r="A267" i="2"/>
  <c r="O267" i="2" s="1"/>
  <c r="S266" i="2"/>
  <c r="R266" i="2"/>
  <c r="Q266" i="2"/>
  <c r="P266" i="2"/>
  <c r="N266" i="2"/>
  <c r="M266" i="2"/>
  <c r="L266" i="2"/>
  <c r="K266" i="2"/>
  <c r="G266" i="2"/>
  <c r="F266" i="2"/>
  <c r="D266" i="2"/>
  <c r="C266" i="2"/>
  <c r="B266" i="2"/>
  <c r="A266" i="2"/>
  <c r="O266" i="2" s="1"/>
  <c r="S265" i="2"/>
  <c r="R265" i="2"/>
  <c r="Q265" i="2"/>
  <c r="P265" i="2"/>
  <c r="O265" i="2"/>
  <c r="N265" i="2"/>
  <c r="M265" i="2"/>
  <c r="L265" i="2" s="1"/>
  <c r="K265" i="2"/>
  <c r="G265" i="2"/>
  <c r="F265" i="2"/>
  <c r="D265" i="2"/>
  <c r="C265" i="2"/>
  <c r="B265" i="2"/>
  <c r="A265" i="2"/>
  <c r="S264" i="2"/>
  <c r="R264" i="2"/>
  <c r="Q264" i="2"/>
  <c r="P264" i="2"/>
  <c r="N264" i="2"/>
  <c r="M264" i="2"/>
  <c r="L264" i="2"/>
  <c r="E264" i="2" s="1"/>
  <c r="K264" i="2"/>
  <c r="G264" i="2"/>
  <c r="F264" i="2"/>
  <c r="D264" i="2"/>
  <c r="C264" i="2"/>
  <c r="B264" i="2"/>
  <c r="A264" i="2"/>
  <c r="O264" i="2" s="1"/>
  <c r="S263" i="2"/>
  <c r="R263" i="2"/>
  <c r="Q263" i="2"/>
  <c r="P263" i="2"/>
  <c r="N263" i="2"/>
  <c r="M263" i="2"/>
  <c r="L263" i="2" s="1"/>
  <c r="I263" i="2" s="1"/>
  <c r="J263" i="2" s="1"/>
  <c r="K263" i="2"/>
  <c r="G263" i="2"/>
  <c r="F263" i="2"/>
  <c r="E263" i="2"/>
  <c r="D263" i="2"/>
  <c r="C263" i="2"/>
  <c r="B263" i="2"/>
  <c r="A263" i="2"/>
  <c r="O263" i="2" s="1"/>
  <c r="S262" i="2"/>
  <c r="R262" i="2"/>
  <c r="Q262" i="2"/>
  <c r="P262" i="2"/>
  <c r="O262" i="2"/>
  <c r="N262" i="2"/>
  <c r="M262" i="2"/>
  <c r="L262" i="2"/>
  <c r="K262" i="2"/>
  <c r="G262" i="2"/>
  <c r="F262" i="2"/>
  <c r="D262" i="2"/>
  <c r="C262" i="2"/>
  <c r="B262" i="2"/>
  <c r="A262" i="2"/>
  <c r="S261" i="2"/>
  <c r="R261" i="2"/>
  <c r="Q261" i="2"/>
  <c r="P261" i="2"/>
  <c r="O261" i="2"/>
  <c r="N261" i="2"/>
  <c r="M261" i="2"/>
  <c r="L261" i="2" s="1"/>
  <c r="K261" i="2"/>
  <c r="G261" i="2"/>
  <c r="F261" i="2"/>
  <c r="D261" i="2"/>
  <c r="C261" i="2"/>
  <c r="B261" i="2"/>
  <c r="A261" i="2"/>
  <c r="S260" i="2"/>
  <c r="R260" i="2"/>
  <c r="Q260" i="2"/>
  <c r="P260" i="2"/>
  <c r="N260" i="2"/>
  <c r="M260" i="2"/>
  <c r="L260" i="2"/>
  <c r="I260" i="2" s="1"/>
  <c r="K260" i="2"/>
  <c r="J260" i="2"/>
  <c r="G260" i="2"/>
  <c r="F260" i="2"/>
  <c r="D260" i="2"/>
  <c r="C260" i="2"/>
  <c r="B260" i="2"/>
  <c r="A260" i="2"/>
  <c r="O260" i="2" s="1"/>
  <c r="S259" i="2"/>
  <c r="R259" i="2"/>
  <c r="Q259" i="2"/>
  <c r="P259" i="2"/>
  <c r="N259" i="2"/>
  <c r="M259" i="2"/>
  <c r="L259" i="2" s="1"/>
  <c r="E259" i="2" s="1"/>
  <c r="K259" i="2"/>
  <c r="G259" i="2"/>
  <c r="F259" i="2"/>
  <c r="D259" i="2"/>
  <c r="C259" i="2"/>
  <c r="B259" i="2"/>
  <c r="A259" i="2"/>
  <c r="O259" i="2" s="1"/>
  <c r="S258" i="2"/>
  <c r="R258" i="2"/>
  <c r="Q258" i="2"/>
  <c r="P258" i="2"/>
  <c r="N258" i="2"/>
  <c r="M258" i="2"/>
  <c r="L258" i="2"/>
  <c r="K258" i="2"/>
  <c r="G258" i="2"/>
  <c r="F258" i="2"/>
  <c r="D258" i="2"/>
  <c r="C258" i="2"/>
  <c r="B258" i="2"/>
  <c r="A258" i="2"/>
  <c r="O258" i="2" s="1"/>
  <c r="S257" i="2"/>
  <c r="R257" i="2"/>
  <c r="Q257" i="2"/>
  <c r="P257" i="2"/>
  <c r="N257" i="2"/>
  <c r="M257" i="2"/>
  <c r="L257" i="2" s="1"/>
  <c r="E257" i="2" s="1"/>
  <c r="K257" i="2"/>
  <c r="G257" i="2"/>
  <c r="F257" i="2"/>
  <c r="D257" i="2"/>
  <c r="C257" i="2"/>
  <c r="B257" i="2"/>
  <c r="A257" i="2"/>
  <c r="O257" i="2" s="1"/>
  <c r="S256" i="2"/>
  <c r="R256" i="2"/>
  <c r="Q256" i="2"/>
  <c r="P256" i="2"/>
  <c r="N256" i="2"/>
  <c r="M256" i="2"/>
  <c r="L256" i="2"/>
  <c r="K256" i="2"/>
  <c r="G256" i="2"/>
  <c r="F256" i="2"/>
  <c r="D256" i="2"/>
  <c r="C256" i="2"/>
  <c r="B256" i="2"/>
  <c r="A256" i="2"/>
  <c r="O256" i="2" s="1"/>
  <c r="S255" i="2"/>
  <c r="R255" i="2"/>
  <c r="Q255" i="2"/>
  <c r="P255" i="2"/>
  <c r="N255" i="2"/>
  <c r="M255" i="2"/>
  <c r="L255" i="2" s="1"/>
  <c r="E255" i="2" s="1"/>
  <c r="K255" i="2"/>
  <c r="G255" i="2"/>
  <c r="F255" i="2"/>
  <c r="D255" i="2"/>
  <c r="C255" i="2"/>
  <c r="B255" i="2"/>
  <c r="A255" i="2"/>
  <c r="O255" i="2" s="1"/>
  <c r="S254" i="2"/>
  <c r="R254" i="2"/>
  <c r="Q254" i="2"/>
  <c r="P254" i="2"/>
  <c r="O254" i="2"/>
  <c r="N254" i="2"/>
  <c r="M254" i="2"/>
  <c r="L254" i="2"/>
  <c r="K254" i="2"/>
  <c r="G254" i="2"/>
  <c r="F254" i="2"/>
  <c r="D254" i="2"/>
  <c r="C254" i="2"/>
  <c r="B254" i="2"/>
  <c r="A254" i="2"/>
  <c r="S253" i="2"/>
  <c r="R253" i="2"/>
  <c r="Q253" i="2"/>
  <c r="P253" i="2"/>
  <c r="O253" i="2"/>
  <c r="N253" i="2"/>
  <c r="M253" i="2"/>
  <c r="L253" i="2" s="1"/>
  <c r="E253" i="2" s="1"/>
  <c r="K253" i="2"/>
  <c r="I253" i="2"/>
  <c r="J253" i="2" s="1"/>
  <c r="G253" i="2"/>
  <c r="F253" i="2"/>
  <c r="D253" i="2"/>
  <c r="C253" i="2"/>
  <c r="B253" i="2"/>
  <c r="A253" i="2"/>
  <c r="S252" i="2"/>
  <c r="R252" i="2"/>
  <c r="Q252" i="2"/>
  <c r="P252" i="2"/>
  <c r="N252" i="2"/>
  <c r="M252" i="2"/>
  <c r="L252" i="2"/>
  <c r="K252" i="2"/>
  <c r="G252" i="2"/>
  <c r="F252" i="2"/>
  <c r="D252" i="2"/>
  <c r="C252" i="2"/>
  <c r="B252" i="2"/>
  <c r="A252" i="2"/>
  <c r="O252" i="2" s="1"/>
  <c r="S251" i="2"/>
  <c r="R251" i="2"/>
  <c r="Q251" i="2"/>
  <c r="P251" i="2"/>
  <c r="O251" i="2"/>
  <c r="N251" i="2"/>
  <c r="M251" i="2"/>
  <c r="L251" i="2" s="1"/>
  <c r="E251" i="2" s="1"/>
  <c r="K251" i="2"/>
  <c r="I251" i="2"/>
  <c r="J251" i="2" s="1"/>
  <c r="G251" i="2"/>
  <c r="F251" i="2"/>
  <c r="D251" i="2"/>
  <c r="C251" i="2"/>
  <c r="B251" i="2"/>
  <c r="A251" i="2"/>
  <c r="S250" i="2"/>
  <c r="R250" i="2"/>
  <c r="Q250" i="2"/>
  <c r="P250" i="2"/>
  <c r="N250" i="2"/>
  <c r="M250" i="2"/>
  <c r="L250" i="2"/>
  <c r="K250" i="2"/>
  <c r="G250" i="2"/>
  <c r="F250" i="2"/>
  <c r="D250" i="2"/>
  <c r="C250" i="2"/>
  <c r="B250" i="2"/>
  <c r="A250" i="2"/>
  <c r="O250" i="2" s="1"/>
  <c r="S249" i="2"/>
  <c r="R249" i="2"/>
  <c r="Q249" i="2"/>
  <c r="P249" i="2"/>
  <c r="O249" i="2"/>
  <c r="N249" i="2"/>
  <c r="M249" i="2"/>
  <c r="L249" i="2" s="1"/>
  <c r="E249" i="2" s="1"/>
  <c r="K249" i="2"/>
  <c r="I249" i="2"/>
  <c r="J249" i="2" s="1"/>
  <c r="G249" i="2"/>
  <c r="F249" i="2"/>
  <c r="D249" i="2"/>
  <c r="C249" i="2"/>
  <c r="B249" i="2"/>
  <c r="A249" i="2"/>
  <c r="S248" i="2"/>
  <c r="R248" i="2"/>
  <c r="Q248" i="2"/>
  <c r="P248" i="2"/>
  <c r="N248" i="2"/>
  <c r="M248" i="2"/>
  <c r="L248" i="2"/>
  <c r="K248" i="2"/>
  <c r="G248" i="2"/>
  <c r="F248" i="2"/>
  <c r="D248" i="2"/>
  <c r="C248" i="2"/>
  <c r="B248" i="2"/>
  <c r="A248" i="2"/>
  <c r="O248" i="2" s="1"/>
  <c r="S247" i="2"/>
  <c r="R247" i="2"/>
  <c r="Q247" i="2"/>
  <c r="P247" i="2"/>
  <c r="O247" i="2"/>
  <c r="N247" i="2"/>
  <c r="M247" i="2"/>
  <c r="L247" i="2" s="1"/>
  <c r="E247" i="2" s="1"/>
  <c r="K247" i="2"/>
  <c r="G247" i="2"/>
  <c r="F247" i="2"/>
  <c r="D247" i="2"/>
  <c r="C247" i="2"/>
  <c r="B247" i="2"/>
  <c r="A247" i="2"/>
  <c r="S246" i="2"/>
  <c r="R246" i="2"/>
  <c r="Q246" i="2"/>
  <c r="P246" i="2"/>
  <c r="N246" i="2"/>
  <c r="M246" i="2"/>
  <c r="L246" i="2"/>
  <c r="K246" i="2"/>
  <c r="G246" i="2"/>
  <c r="F246" i="2"/>
  <c r="D246" i="2"/>
  <c r="C246" i="2"/>
  <c r="B246" i="2"/>
  <c r="A246" i="2"/>
  <c r="O246" i="2" s="1"/>
  <c r="S245" i="2"/>
  <c r="R245" i="2"/>
  <c r="Q245" i="2"/>
  <c r="P245" i="2"/>
  <c r="O245" i="2"/>
  <c r="N245" i="2"/>
  <c r="M245" i="2"/>
  <c r="L245" i="2" s="1"/>
  <c r="E245" i="2" s="1"/>
  <c r="K245" i="2"/>
  <c r="G245" i="2"/>
  <c r="F245" i="2"/>
  <c r="D245" i="2"/>
  <c r="C245" i="2"/>
  <c r="B245" i="2"/>
  <c r="A245" i="2"/>
  <c r="S244" i="2"/>
  <c r="R244" i="2"/>
  <c r="Q244" i="2"/>
  <c r="P244" i="2"/>
  <c r="N244" i="2"/>
  <c r="M244" i="2"/>
  <c r="L244" i="2"/>
  <c r="K244" i="2"/>
  <c r="G244" i="2"/>
  <c r="F244" i="2"/>
  <c r="D244" i="2"/>
  <c r="C244" i="2"/>
  <c r="B244" i="2"/>
  <c r="A244" i="2"/>
  <c r="O244" i="2" s="1"/>
  <c r="S243" i="2"/>
  <c r="R243" i="2"/>
  <c r="Q243" i="2"/>
  <c r="P243" i="2"/>
  <c r="O243" i="2"/>
  <c r="N243" i="2"/>
  <c r="M243" i="2"/>
  <c r="L243" i="2" s="1"/>
  <c r="E243" i="2" s="1"/>
  <c r="K243" i="2"/>
  <c r="G243" i="2"/>
  <c r="F243" i="2"/>
  <c r="D243" i="2"/>
  <c r="C243" i="2"/>
  <c r="B243" i="2"/>
  <c r="A243" i="2"/>
  <c r="S242" i="2"/>
  <c r="R242" i="2"/>
  <c r="Q242" i="2"/>
  <c r="P242" i="2"/>
  <c r="N242" i="2"/>
  <c r="M242" i="2"/>
  <c r="L242" i="2"/>
  <c r="K242" i="2"/>
  <c r="G242" i="2"/>
  <c r="F242" i="2"/>
  <c r="D242" i="2"/>
  <c r="C242" i="2"/>
  <c r="B242" i="2"/>
  <c r="A242" i="2"/>
  <c r="O242" i="2" s="1"/>
  <c r="S241" i="2"/>
  <c r="R241" i="2"/>
  <c r="Q241" i="2"/>
  <c r="P241" i="2"/>
  <c r="O241" i="2"/>
  <c r="N241" i="2"/>
  <c r="M241" i="2"/>
  <c r="L241" i="2" s="1"/>
  <c r="E241" i="2" s="1"/>
  <c r="K241" i="2"/>
  <c r="G241" i="2"/>
  <c r="F241" i="2"/>
  <c r="D241" i="2"/>
  <c r="C241" i="2"/>
  <c r="B241" i="2"/>
  <c r="A241" i="2"/>
  <c r="S240" i="2"/>
  <c r="R240" i="2"/>
  <c r="Q240" i="2"/>
  <c r="P240" i="2"/>
  <c r="N240" i="2"/>
  <c r="M240" i="2"/>
  <c r="L240" i="2"/>
  <c r="K240" i="2"/>
  <c r="G240" i="2"/>
  <c r="F240" i="2"/>
  <c r="D240" i="2"/>
  <c r="C240" i="2"/>
  <c r="B240" i="2"/>
  <c r="A240" i="2"/>
  <c r="O240" i="2" s="1"/>
  <c r="S239" i="2"/>
  <c r="R239" i="2"/>
  <c r="Q239" i="2"/>
  <c r="P239" i="2"/>
  <c r="O239" i="2"/>
  <c r="N239" i="2"/>
  <c r="M239" i="2"/>
  <c r="L239" i="2" s="1"/>
  <c r="E239" i="2" s="1"/>
  <c r="K239" i="2"/>
  <c r="G239" i="2"/>
  <c r="F239" i="2"/>
  <c r="D239" i="2"/>
  <c r="C239" i="2"/>
  <c r="B239" i="2"/>
  <c r="A239" i="2"/>
  <c r="S238" i="2"/>
  <c r="R238" i="2"/>
  <c r="Q238" i="2"/>
  <c r="P238" i="2"/>
  <c r="N238" i="2"/>
  <c r="M238" i="2"/>
  <c r="L238" i="2"/>
  <c r="K238" i="2"/>
  <c r="G238" i="2"/>
  <c r="F238" i="2"/>
  <c r="D238" i="2"/>
  <c r="C238" i="2"/>
  <c r="B238" i="2"/>
  <c r="A238" i="2"/>
  <c r="O238" i="2" s="1"/>
  <c r="S237" i="2"/>
  <c r="R237" i="2"/>
  <c r="Q237" i="2"/>
  <c r="P237" i="2"/>
  <c r="O237" i="2"/>
  <c r="N237" i="2"/>
  <c r="M237" i="2"/>
  <c r="L237" i="2" s="1"/>
  <c r="E237" i="2" s="1"/>
  <c r="K237" i="2"/>
  <c r="G237" i="2"/>
  <c r="F237" i="2"/>
  <c r="D237" i="2"/>
  <c r="C237" i="2"/>
  <c r="B237" i="2"/>
  <c r="A237" i="2"/>
  <c r="S236" i="2"/>
  <c r="R236" i="2"/>
  <c r="Q236" i="2"/>
  <c r="P236" i="2"/>
  <c r="N236" i="2"/>
  <c r="M236" i="2"/>
  <c r="L236" i="2"/>
  <c r="K236" i="2"/>
  <c r="G236" i="2"/>
  <c r="F236" i="2"/>
  <c r="D236" i="2"/>
  <c r="C236" i="2"/>
  <c r="B236" i="2"/>
  <c r="A236" i="2"/>
  <c r="O236" i="2" s="1"/>
  <c r="S235" i="2"/>
  <c r="R235" i="2"/>
  <c r="Q235" i="2"/>
  <c r="P235" i="2"/>
  <c r="O235" i="2"/>
  <c r="N235" i="2"/>
  <c r="M235" i="2"/>
  <c r="L235" i="2" s="1"/>
  <c r="E235" i="2" s="1"/>
  <c r="K235" i="2"/>
  <c r="G235" i="2"/>
  <c r="F235" i="2"/>
  <c r="D235" i="2"/>
  <c r="C235" i="2"/>
  <c r="B235" i="2"/>
  <c r="A235" i="2"/>
  <c r="S234" i="2"/>
  <c r="R234" i="2"/>
  <c r="Q234" i="2"/>
  <c r="P234" i="2"/>
  <c r="N234" i="2"/>
  <c r="M234" i="2"/>
  <c r="L234" i="2"/>
  <c r="K234" i="2"/>
  <c r="G234" i="2"/>
  <c r="F234" i="2"/>
  <c r="D234" i="2"/>
  <c r="C234" i="2"/>
  <c r="B234" i="2"/>
  <c r="A234" i="2"/>
  <c r="O234" i="2" s="1"/>
  <c r="S233" i="2"/>
  <c r="R233" i="2"/>
  <c r="Q233" i="2"/>
  <c r="P233" i="2"/>
  <c r="O233" i="2"/>
  <c r="N233" i="2"/>
  <c r="M233" i="2"/>
  <c r="L233" i="2" s="1"/>
  <c r="E233" i="2" s="1"/>
  <c r="K233" i="2"/>
  <c r="G233" i="2"/>
  <c r="F233" i="2"/>
  <c r="D233" i="2"/>
  <c r="C233" i="2"/>
  <c r="B233" i="2"/>
  <c r="A233" i="2"/>
  <c r="S232" i="2"/>
  <c r="R232" i="2"/>
  <c r="Q232" i="2"/>
  <c r="P232" i="2"/>
  <c r="N232" i="2"/>
  <c r="M232" i="2"/>
  <c r="L232" i="2"/>
  <c r="K232" i="2"/>
  <c r="G232" i="2"/>
  <c r="F232" i="2"/>
  <c r="D232" i="2"/>
  <c r="C232" i="2"/>
  <c r="B232" i="2"/>
  <c r="A232" i="2"/>
  <c r="O232" i="2" s="1"/>
  <c r="S231" i="2"/>
  <c r="R231" i="2"/>
  <c r="Q231" i="2"/>
  <c r="P231" i="2"/>
  <c r="O231" i="2"/>
  <c r="N231" i="2"/>
  <c r="M231" i="2"/>
  <c r="L231" i="2" s="1"/>
  <c r="E231" i="2" s="1"/>
  <c r="K231" i="2"/>
  <c r="G231" i="2"/>
  <c r="F231" i="2"/>
  <c r="D231" i="2"/>
  <c r="C231" i="2"/>
  <c r="B231" i="2"/>
  <c r="A231" i="2"/>
  <c r="S230" i="2"/>
  <c r="R230" i="2"/>
  <c r="Q230" i="2"/>
  <c r="P230" i="2"/>
  <c r="N230" i="2"/>
  <c r="M230" i="2"/>
  <c r="L230" i="2"/>
  <c r="K230" i="2"/>
  <c r="G230" i="2"/>
  <c r="F230" i="2"/>
  <c r="D230" i="2"/>
  <c r="C230" i="2"/>
  <c r="B230" i="2"/>
  <c r="A230" i="2"/>
  <c r="O230" i="2" s="1"/>
  <c r="S229" i="2"/>
  <c r="R229" i="2"/>
  <c r="Q229" i="2"/>
  <c r="P229" i="2"/>
  <c r="O229" i="2"/>
  <c r="N229" i="2"/>
  <c r="M229" i="2"/>
  <c r="L229" i="2" s="1"/>
  <c r="E229" i="2" s="1"/>
  <c r="K229" i="2"/>
  <c r="G229" i="2"/>
  <c r="F229" i="2"/>
  <c r="D229" i="2"/>
  <c r="C229" i="2"/>
  <c r="B229" i="2"/>
  <c r="A229" i="2"/>
  <c r="S228" i="2"/>
  <c r="R228" i="2"/>
  <c r="Q228" i="2"/>
  <c r="P228" i="2"/>
  <c r="N228" i="2"/>
  <c r="M228" i="2"/>
  <c r="L228" i="2"/>
  <c r="K228" i="2"/>
  <c r="G228" i="2"/>
  <c r="F228" i="2"/>
  <c r="D228" i="2"/>
  <c r="C228" i="2"/>
  <c r="B228" i="2"/>
  <c r="A228" i="2"/>
  <c r="O228" i="2" s="1"/>
  <c r="S227" i="2"/>
  <c r="R227" i="2"/>
  <c r="Q227" i="2"/>
  <c r="P227" i="2"/>
  <c r="O227" i="2"/>
  <c r="N227" i="2"/>
  <c r="M227" i="2"/>
  <c r="L227" i="2" s="1"/>
  <c r="E227" i="2" s="1"/>
  <c r="K227" i="2"/>
  <c r="G227" i="2"/>
  <c r="F227" i="2"/>
  <c r="D227" i="2"/>
  <c r="C227" i="2"/>
  <c r="B227" i="2"/>
  <c r="A227" i="2"/>
  <c r="S226" i="2"/>
  <c r="R226" i="2"/>
  <c r="Q226" i="2"/>
  <c r="P226" i="2"/>
  <c r="N226" i="2"/>
  <c r="M226" i="2"/>
  <c r="L226" i="2"/>
  <c r="K226" i="2"/>
  <c r="G226" i="2"/>
  <c r="F226" i="2"/>
  <c r="D226" i="2"/>
  <c r="C226" i="2"/>
  <c r="B226" i="2"/>
  <c r="A226" i="2"/>
  <c r="O226" i="2" s="1"/>
  <c r="S225" i="2"/>
  <c r="R225" i="2"/>
  <c r="Q225" i="2"/>
  <c r="P225" i="2"/>
  <c r="O225" i="2"/>
  <c r="N225" i="2"/>
  <c r="M225" i="2"/>
  <c r="L225" i="2" s="1"/>
  <c r="E225" i="2" s="1"/>
  <c r="K225" i="2"/>
  <c r="G225" i="2"/>
  <c r="F225" i="2"/>
  <c r="D225" i="2"/>
  <c r="C225" i="2"/>
  <c r="B225" i="2"/>
  <c r="A225" i="2"/>
  <c r="S224" i="2"/>
  <c r="R224" i="2"/>
  <c r="Q224" i="2"/>
  <c r="P224" i="2"/>
  <c r="N224" i="2"/>
  <c r="M224" i="2"/>
  <c r="L224" i="2"/>
  <c r="K224" i="2"/>
  <c r="G224" i="2"/>
  <c r="F224" i="2"/>
  <c r="D224" i="2"/>
  <c r="C224" i="2"/>
  <c r="B224" i="2"/>
  <c r="A224" i="2"/>
  <c r="O224" i="2" s="1"/>
  <c r="S223" i="2"/>
  <c r="R223" i="2"/>
  <c r="Q223" i="2"/>
  <c r="P223" i="2"/>
  <c r="O223" i="2"/>
  <c r="N223" i="2"/>
  <c r="M223" i="2"/>
  <c r="L223" i="2" s="1"/>
  <c r="E223" i="2" s="1"/>
  <c r="K223" i="2"/>
  <c r="G223" i="2"/>
  <c r="F223" i="2"/>
  <c r="D223" i="2"/>
  <c r="C223" i="2"/>
  <c r="B223" i="2"/>
  <c r="A223" i="2"/>
  <c r="S222" i="2"/>
  <c r="R222" i="2"/>
  <c r="Q222" i="2"/>
  <c r="P222" i="2"/>
  <c r="N222" i="2"/>
  <c r="M222" i="2"/>
  <c r="L222" i="2"/>
  <c r="K222" i="2"/>
  <c r="G222" i="2"/>
  <c r="F222" i="2"/>
  <c r="D222" i="2"/>
  <c r="C222" i="2"/>
  <c r="B222" i="2"/>
  <c r="A222" i="2"/>
  <c r="O222" i="2" s="1"/>
  <c r="S221" i="2"/>
  <c r="R221" i="2"/>
  <c r="Q221" i="2"/>
  <c r="P221" i="2"/>
  <c r="O221" i="2"/>
  <c r="N221" i="2"/>
  <c r="M221" i="2"/>
  <c r="L221" i="2" s="1"/>
  <c r="E221" i="2" s="1"/>
  <c r="K221" i="2"/>
  <c r="G221" i="2"/>
  <c r="F221" i="2"/>
  <c r="D221" i="2"/>
  <c r="C221" i="2"/>
  <c r="B221" i="2"/>
  <c r="A221" i="2"/>
  <c r="S220" i="2"/>
  <c r="R220" i="2"/>
  <c r="Q220" i="2"/>
  <c r="P220" i="2"/>
  <c r="N220" i="2"/>
  <c r="M220" i="2"/>
  <c r="L220" i="2"/>
  <c r="K220" i="2"/>
  <c r="G220" i="2"/>
  <c r="F220" i="2"/>
  <c r="D220" i="2"/>
  <c r="C220" i="2"/>
  <c r="B220" i="2"/>
  <c r="A220" i="2"/>
  <c r="O220" i="2" s="1"/>
  <c r="S219" i="2"/>
  <c r="R219" i="2"/>
  <c r="Q219" i="2"/>
  <c r="P219" i="2"/>
  <c r="O219" i="2"/>
  <c r="N219" i="2"/>
  <c r="M219" i="2"/>
  <c r="L219" i="2" s="1"/>
  <c r="K219" i="2"/>
  <c r="G219" i="2"/>
  <c r="F219" i="2"/>
  <c r="D219" i="2"/>
  <c r="C219" i="2"/>
  <c r="B219" i="2"/>
  <c r="A219" i="2"/>
  <c r="S218" i="2"/>
  <c r="R218" i="2"/>
  <c r="Q218" i="2"/>
  <c r="P218" i="2"/>
  <c r="N218" i="2"/>
  <c r="M218" i="2"/>
  <c r="L218" i="2"/>
  <c r="K218" i="2"/>
  <c r="G218" i="2"/>
  <c r="F218" i="2"/>
  <c r="D218" i="2"/>
  <c r="C218" i="2"/>
  <c r="B218" i="2"/>
  <c r="A218" i="2"/>
  <c r="O218" i="2" s="1"/>
  <c r="S217" i="2"/>
  <c r="R217" i="2"/>
  <c r="Q217" i="2"/>
  <c r="P217" i="2"/>
  <c r="O217" i="2"/>
  <c r="N217" i="2"/>
  <c r="M217" i="2"/>
  <c r="L217" i="2" s="1"/>
  <c r="K217" i="2"/>
  <c r="G217" i="2"/>
  <c r="F217" i="2"/>
  <c r="D217" i="2"/>
  <c r="C217" i="2"/>
  <c r="B217" i="2"/>
  <c r="A217" i="2"/>
  <c r="S216" i="2"/>
  <c r="R216" i="2"/>
  <c r="Q216" i="2"/>
  <c r="P216" i="2"/>
  <c r="N216" i="2"/>
  <c r="M216" i="2"/>
  <c r="L216" i="2"/>
  <c r="K216" i="2"/>
  <c r="G216" i="2"/>
  <c r="F216" i="2"/>
  <c r="D216" i="2"/>
  <c r="C216" i="2"/>
  <c r="B216" i="2"/>
  <c r="A216" i="2"/>
  <c r="O216" i="2" s="1"/>
  <c r="S215" i="2"/>
  <c r="R215" i="2"/>
  <c r="Q215" i="2"/>
  <c r="P215" i="2"/>
  <c r="O215" i="2"/>
  <c r="N215" i="2"/>
  <c r="M215" i="2"/>
  <c r="L215" i="2" s="1"/>
  <c r="K215" i="2"/>
  <c r="G215" i="2"/>
  <c r="F215" i="2"/>
  <c r="D215" i="2"/>
  <c r="C215" i="2"/>
  <c r="B215" i="2"/>
  <c r="A215" i="2"/>
  <c r="S214" i="2"/>
  <c r="R214" i="2"/>
  <c r="Q214" i="2"/>
  <c r="P214" i="2"/>
  <c r="N214" i="2"/>
  <c r="M214" i="2"/>
  <c r="L214" i="2"/>
  <c r="K214" i="2"/>
  <c r="G214" i="2"/>
  <c r="F214" i="2"/>
  <c r="D214" i="2"/>
  <c r="C214" i="2"/>
  <c r="B214" i="2"/>
  <c r="A214" i="2"/>
  <c r="O214" i="2" s="1"/>
  <c r="S213" i="2"/>
  <c r="R213" i="2"/>
  <c r="Q213" i="2"/>
  <c r="P213" i="2"/>
  <c r="O213" i="2"/>
  <c r="N213" i="2"/>
  <c r="M213" i="2"/>
  <c r="L213" i="2" s="1"/>
  <c r="K213" i="2"/>
  <c r="G213" i="2"/>
  <c r="F213" i="2"/>
  <c r="D213" i="2"/>
  <c r="C213" i="2"/>
  <c r="B213" i="2"/>
  <c r="A213" i="2"/>
  <c r="S212" i="2"/>
  <c r="R212" i="2"/>
  <c r="Q212" i="2"/>
  <c r="P212" i="2"/>
  <c r="N212" i="2"/>
  <c r="M212" i="2"/>
  <c r="L212" i="2"/>
  <c r="K212" i="2"/>
  <c r="G212" i="2"/>
  <c r="F212" i="2"/>
  <c r="D212" i="2"/>
  <c r="C212" i="2"/>
  <c r="B212" i="2"/>
  <c r="A212" i="2"/>
  <c r="O212" i="2" s="1"/>
  <c r="S211" i="2"/>
  <c r="R211" i="2"/>
  <c r="Q211" i="2"/>
  <c r="P211" i="2"/>
  <c r="O211" i="2"/>
  <c r="N211" i="2"/>
  <c r="M211" i="2"/>
  <c r="L211" i="2" s="1"/>
  <c r="K211" i="2"/>
  <c r="G211" i="2"/>
  <c r="F211" i="2"/>
  <c r="D211" i="2"/>
  <c r="C211" i="2"/>
  <c r="B211" i="2"/>
  <c r="A211" i="2"/>
  <c r="S210" i="2"/>
  <c r="R210" i="2"/>
  <c r="Q210" i="2"/>
  <c r="P210" i="2"/>
  <c r="N210" i="2"/>
  <c r="M210" i="2"/>
  <c r="L210" i="2"/>
  <c r="K210" i="2"/>
  <c r="G210" i="2"/>
  <c r="F210" i="2"/>
  <c r="D210" i="2"/>
  <c r="C210" i="2"/>
  <c r="B210" i="2"/>
  <c r="A210" i="2"/>
  <c r="O210" i="2" s="1"/>
  <c r="S209" i="2"/>
  <c r="R209" i="2"/>
  <c r="Q209" i="2"/>
  <c r="P209" i="2"/>
  <c r="O209" i="2"/>
  <c r="N209" i="2"/>
  <c r="M209" i="2"/>
  <c r="L209" i="2" s="1"/>
  <c r="K209" i="2"/>
  <c r="G209" i="2"/>
  <c r="F209" i="2"/>
  <c r="D209" i="2"/>
  <c r="C209" i="2"/>
  <c r="B209" i="2"/>
  <c r="A209" i="2"/>
  <c r="S208" i="2"/>
  <c r="R208" i="2"/>
  <c r="Q208" i="2"/>
  <c r="P208" i="2"/>
  <c r="N208" i="2"/>
  <c r="M208" i="2"/>
  <c r="L208" i="2"/>
  <c r="K208" i="2"/>
  <c r="G208" i="2"/>
  <c r="F208" i="2"/>
  <c r="D208" i="2"/>
  <c r="C208" i="2"/>
  <c r="B208" i="2"/>
  <c r="A208" i="2"/>
  <c r="O208" i="2" s="1"/>
  <c r="S207" i="2"/>
  <c r="R207" i="2"/>
  <c r="Q207" i="2"/>
  <c r="P207" i="2"/>
  <c r="O207" i="2"/>
  <c r="N207" i="2"/>
  <c r="M207" i="2"/>
  <c r="L207" i="2" s="1"/>
  <c r="K207" i="2"/>
  <c r="G207" i="2"/>
  <c r="F207" i="2"/>
  <c r="D207" i="2"/>
  <c r="C207" i="2"/>
  <c r="B207" i="2"/>
  <c r="A207" i="2"/>
  <c r="S206" i="2"/>
  <c r="R206" i="2"/>
  <c r="Q206" i="2"/>
  <c r="P206" i="2"/>
  <c r="N206" i="2"/>
  <c r="M206" i="2"/>
  <c r="L206" i="2"/>
  <c r="K206" i="2"/>
  <c r="G206" i="2"/>
  <c r="F206" i="2"/>
  <c r="D206" i="2"/>
  <c r="C206" i="2"/>
  <c r="B206" i="2"/>
  <c r="A206" i="2"/>
  <c r="O206" i="2" s="1"/>
  <c r="S205" i="2"/>
  <c r="R205" i="2"/>
  <c r="Q205" i="2"/>
  <c r="P205" i="2"/>
  <c r="O205" i="2"/>
  <c r="N205" i="2"/>
  <c r="M205" i="2"/>
  <c r="L205" i="2" s="1"/>
  <c r="K205" i="2"/>
  <c r="G205" i="2"/>
  <c r="F205" i="2"/>
  <c r="D205" i="2"/>
  <c r="C205" i="2"/>
  <c r="B205" i="2"/>
  <c r="A205" i="2"/>
  <c r="S204" i="2"/>
  <c r="R204" i="2"/>
  <c r="Q204" i="2"/>
  <c r="P204" i="2"/>
  <c r="N204" i="2"/>
  <c r="M204" i="2"/>
  <c r="L204" i="2"/>
  <c r="K204" i="2"/>
  <c r="G204" i="2"/>
  <c r="F204" i="2"/>
  <c r="D204" i="2"/>
  <c r="C204" i="2"/>
  <c r="B204" i="2"/>
  <c r="A204" i="2"/>
  <c r="O204" i="2" s="1"/>
  <c r="S203" i="2"/>
  <c r="R203" i="2"/>
  <c r="Q203" i="2"/>
  <c r="P203" i="2"/>
  <c r="O203" i="2"/>
  <c r="N203" i="2"/>
  <c r="M203" i="2"/>
  <c r="L203" i="2" s="1"/>
  <c r="K203" i="2"/>
  <c r="G203" i="2"/>
  <c r="F203" i="2"/>
  <c r="D203" i="2"/>
  <c r="C203" i="2"/>
  <c r="B203" i="2"/>
  <c r="A203" i="2"/>
  <c r="S202" i="2"/>
  <c r="R202" i="2"/>
  <c r="Q202" i="2"/>
  <c r="P202" i="2"/>
  <c r="N202" i="2"/>
  <c r="M202" i="2"/>
  <c r="L202" i="2"/>
  <c r="K202" i="2"/>
  <c r="G202" i="2"/>
  <c r="F202" i="2"/>
  <c r="D202" i="2"/>
  <c r="C202" i="2"/>
  <c r="B202" i="2"/>
  <c r="A202" i="2"/>
  <c r="O202" i="2" s="1"/>
  <c r="S201" i="2"/>
  <c r="R201" i="2"/>
  <c r="Q201" i="2"/>
  <c r="P201" i="2"/>
  <c r="O201" i="2"/>
  <c r="N201" i="2"/>
  <c r="M201" i="2"/>
  <c r="L201" i="2" s="1"/>
  <c r="K201" i="2"/>
  <c r="G201" i="2"/>
  <c r="F201" i="2"/>
  <c r="D201" i="2"/>
  <c r="C201" i="2"/>
  <c r="B201" i="2"/>
  <c r="A201" i="2"/>
  <c r="S200" i="2"/>
  <c r="R200" i="2"/>
  <c r="Q200" i="2"/>
  <c r="P200" i="2"/>
  <c r="N200" i="2"/>
  <c r="M200" i="2"/>
  <c r="L200" i="2"/>
  <c r="K200" i="2"/>
  <c r="G200" i="2"/>
  <c r="F200" i="2"/>
  <c r="D200" i="2"/>
  <c r="C200" i="2"/>
  <c r="B200" i="2"/>
  <c r="A200" i="2"/>
  <c r="O200" i="2" s="1"/>
  <c r="S199" i="2"/>
  <c r="R199" i="2"/>
  <c r="Q199" i="2"/>
  <c r="P199" i="2"/>
  <c r="O199" i="2"/>
  <c r="N199" i="2"/>
  <c r="M199" i="2"/>
  <c r="L199" i="2" s="1"/>
  <c r="I199" i="2" s="1"/>
  <c r="J199" i="2" s="1"/>
  <c r="K199" i="2"/>
  <c r="G199" i="2"/>
  <c r="F199" i="2"/>
  <c r="E199" i="2"/>
  <c r="D199" i="2"/>
  <c r="C199" i="2"/>
  <c r="B199" i="2"/>
  <c r="A199" i="2"/>
  <c r="S198" i="2"/>
  <c r="R198" i="2"/>
  <c r="Q198" i="2"/>
  <c r="P198" i="2"/>
  <c r="N198" i="2"/>
  <c r="M198" i="2"/>
  <c r="L198" i="2" s="1"/>
  <c r="K198" i="2"/>
  <c r="G198" i="2"/>
  <c r="F198" i="2"/>
  <c r="D198" i="2"/>
  <c r="C198" i="2"/>
  <c r="B198" i="2"/>
  <c r="A198" i="2"/>
  <c r="O198" i="2" s="1"/>
  <c r="S197" i="2"/>
  <c r="R197" i="2"/>
  <c r="Q197" i="2"/>
  <c r="P197" i="2"/>
  <c r="N197" i="2"/>
  <c r="M197" i="2"/>
  <c r="L197" i="2"/>
  <c r="K197" i="2"/>
  <c r="G197" i="2"/>
  <c r="F197" i="2"/>
  <c r="D197" i="2"/>
  <c r="C197" i="2"/>
  <c r="B197" i="2"/>
  <c r="A197" i="2"/>
  <c r="O197" i="2" s="1"/>
  <c r="S196" i="2"/>
  <c r="R196" i="2"/>
  <c r="Q196" i="2"/>
  <c r="P196" i="2"/>
  <c r="O196" i="2"/>
  <c r="N196" i="2"/>
  <c r="M196" i="2"/>
  <c r="L196" i="2"/>
  <c r="I196" i="2" s="1"/>
  <c r="J196" i="2" s="1"/>
  <c r="K196" i="2"/>
  <c r="G196" i="2"/>
  <c r="F196" i="2"/>
  <c r="D196" i="2"/>
  <c r="C196" i="2"/>
  <c r="B196" i="2"/>
  <c r="A196" i="2"/>
  <c r="S195" i="2"/>
  <c r="R195" i="2"/>
  <c r="Q195" i="2"/>
  <c r="P195" i="2"/>
  <c r="N195" i="2"/>
  <c r="M195" i="2"/>
  <c r="L195" i="2"/>
  <c r="E195" i="2" s="1"/>
  <c r="K195" i="2"/>
  <c r="J195" i="2"/>
  <c r="I195" i="2"/>
  <c r="G195" i="2"/>
  <c r="F195" i="2"/>
  <c r="D195" i="2"/>
  <c r="C195" i="2"/>
  <c r="B195" i="2"/>
  <c r="A195" i="2"/>
  <c r="O195" i="2" s="1"/>
  <c r="S194" i="2"/>
  <c r="R194" i="2"/>
  <c r="Q194" i="2"/>
  <c r="P194" i="2"/>
  <c r="N194" i="2"/>
  <c r="M194" i="2"/>
  <c r="L194" i="2" s="1"/>
  <c r="K194" i="2"/>
  <c r="G194" i="2"/>
  <c r="F194" i="2"/>
  <c r="D194" i="2"/>
  <c r="C194" i="2"/>
  <c r="B194" i="2"/>
  <c r="A194" i="2"/>
  <c r="O194" i="2" s="1"/>
  <c r="S193" i="2"/>
  <c r="R193" i="2"/>
  <c r="Q193" i="2"/>
  <c r="P193" i="2"/>
  <c r="O193" i="2"/>
  <c r="N193" i="2"/>
  <c r="M193" i="2"/>
  <c r="L193" i="2"/>
  <c r="K193" i="2"/>
  <c r="G193" i="2"/>
  <c r="F193" i="2"/>
  <c r="D193" i="2"/>
  <c r="C193" i="2"/>
  <c r="B193" i="2"/>
  <c r="A193" i="2"/>
  <c r="S192" i="2"/>
  <c r="R192" i="2"/>
  <c r="Q192" i="2"/>
  <c r="P192" i="2"/>
  <c r="O192" i="2"/>
  <c r="N192" i="2"/>
  <c r="M192" i="2"/>
  <c r="L192" i="2"/>
  <c r="E192" i="2" s="1"/>
  <c r="K192" i="2"/>
  <c r="G192" i="2"/>
  <c r="F192" i="2"/>
  <c r="D192" i="2"/>
  <c r="C192" i="2"/>
  <c r="B192" i="2"/>
  <c r="A192" i="2"/>
  <c r="S191" i="2"/>
  <c r="R191" i="2"/>
  <c r="Q191" i="2"/>
  <c r="P191" i="2"/>
  <c r="O191" i="2"/>
  <c r="N191" i="2"/>
  <c r="M191" i="2"/>
  <c r="L191" i="2" s="1"/>
  <c r="I191" i="2" s="1"/>
  <c r="K191" i="2"/>
  <c r="J191" i="2"/>
  <c r="G191" i="2"/>
  <c r="F191" i="2"/>
  <c r="D191" i="2"/>
  <c r="C191" i="2"/>
  <c r="B191" i="2"/>
  <c r="A191" i="2"/>
  <c r="S190" i="2"/>
  <c r="R190" i="2"/>
  <c r="Q190" i="2"/>
  <c r="P190" i="2"/>
  <c r="N190" i="2"/>
  <c r="M190" i="2"/>
  <c r="L190" i="2" s="1"/>
  <c r="E190" i="2" s="1"/>
  <c r="K190" i="2"/>
  <c r="I190" i="2"/>
  <c r="J190" i="2" s="1"/>
  <c r="G190" i="2"/>
  <c r="F190" i="2"/>
  <c r="D190" i="2"/>
  <c r="C190" i="2"/>
  <c r="B190" i="2"/>
  <c r="A190" i="2"/>
  <c r="O190" i="2" s="1"/>
  <c r="S189" i="2"/>
  <c r="R189" i="2"/>
  <c r="Q189" i="2"/>
  <c r="P189" i="2"/>
  <c r="N189" i="2"/>
  <c r="M189" i="2"/>
  <c r="L189" i="2"/>
  <c r="K189" i="2"/>
  <c r="G189" i="2"/>
  <c r="F189" i="2"/>
  <c r="D189" i="2"/>
  <c r="C189" i="2"/>
  <c r="B189" i="2"/>
  <c r="A189" i="2"/>
  <c r="O189" i="2" s="1"/>
  <c r="S188" i="2"/>
  <c r="R188" i="2"/>
  <c r="Q188" i="2"/>
  <c r="P188" i="2"/>
  <c r="O188" i="2"/>
  <c r="N188" i="2"/>
  <c r="M188" i="2"/>
  <c r="L188" i="2"/>
  <c r="I188" i="2" s="1"/>
  <c r="J188" i="2" s="1"/>
  <c r="K188" i="2"/>
  <c r="G188" i="2"/>
  <c r="F188" i="2"/>
  <c r="D188" i="2"/>
  <c r="C188" i="2"/>
  <c r="B188" i="2"/>
  <c r="A188" i="2"/>
  <c r="S187" i="2"/>
  <c r="R187" i="2"/>
  <c r="Q187" i="2"/>
  <c r="P187" i="2"/>
  <c r="N187" i="2"/>
  <c r="M187" i="2"/>
  <c r="L187" i="2"/>
  <c r="E187" i="2" s="1"/>
  <c r="K187" i="2"/>
  <c r="I187" i="2"/>
  <c r="J187" i="2" s="1"/>
  <c r="G187" i="2"/>
  <c r="F187" i="2"/>
  <c r="D187" i="2"/>
  <c r="C187" i="2"/>
  <c r="B187" i="2"/>
  <c r="A187" i="2"/>
  <c r="O187" i="2" s="1"/>
  <c r="S186" i="2"/>
  <c r="R186" i="2"/>
  <c r="Q186" i="2"/>
  <c r="P186" i="2"/>
  <c r="N186" i="2"/>
  <c r="M186" i="2"/>
  <c r="L186" i="2"/>
  <c r="E186" i="2" s="1"/>
  <c r="K186" i="2"/>
  <c r="G186" i="2"/>
  <c r="F186" i="2"/>
  <c r="D186" i="2"/>
  <c r="C186" i="2"/>
  <c r="B186" i="2"/>
  <c r="A186" i="2"/>
  <c r="O186" i="2" s="1"/>
  <c r="S185" i="2"/>
  <c r="R185" i="2"/>
  <c r="Q185" i="2"/>
  <c r="P185" i="2"/>
  <c r="O185" i="2"/>
  <c r="N185" i="2"/>
  <c r="M185" i="2"/>
  <c r="L185" i="2"/>
  <c r="K185" i="2"/>
  <c r="G185" i="2"/>
  <c r="F185" i="2"/>
  <c r="D185" i="2"/>
  <c r="C185" i="2"/>
  <c r="B185" i="2"/>
  <c r="A185" i="2"/>
  <c r="S184" i="2"/>
  <c r="R184" i="2"/>
  <c r="Q184" i="2"/>
  <c r="P184" i="2"/>
  <c r="O184" i="2"/>
  <c r="N184" i="2"/>
  <c r="M184" i="2"/>
  <c r="L184" i="2"/>
  <c r="E184" i="2" s="1"/>
  <c r="K184" i="2"/>
  <c r="G184" i="2"/>
  <c r="F184" i="2"/>
  <c r="D184" i="2"/>
  <c r="C184" i="2"/>
  <c r="B184" i="2"/>
  <c r="A184" i="2"/>
  <c r="S183" i="2"/>
  <c r="R183" i="2"/>
  <c r="Q183" i="2"/>
  <c r="P183" i="2"/>
  <c r="O183" i="2"/>
  <c r="N183" i="2"/>
  <c r="M183" i="2"/>
  <c r="L183" i="2" s="1"/>
  <c r="I183" i="2" s="1"/>
  <c r="J183" i="2" s="1"/>
  <c r="K183" i="2"/>
  <c r="G183" i="2"/>
  <c r="F183" i="2"/>
  <c r="D183" i="2"/>
  <c r="C183" i="2"/>
  <c r="B183" i="2"/>
  <c r="A183" i="2"/>
  <c r="S182" i="2"/>
  <c r="R182" i="2"/>
  <c r="Q182" i="2"/>
  <c r="P182" i="2"/>
  <c r="N182" i="2"/>
  <c r="M182" i="2"/>
  <c r="L182" i="2" s="1"/>
  <c r="E182" i="2" s="1"/>
  <c r="K182" i="2"/>
  <c r="I182" i="2"/>
  <c r="J182" i="2" s="1"/>
  <c r="G182" i="2"/>
  <c r="F182" i="2"/>
  <c r="D182" i="2"/>
  <c r="C182" i="2"/>
  <c r="B182" i="2"/>
  <c r="A182" i="2"/>
  <c r="O182" i="2" s="1"/>
  <c r="S181" i="2"/>
  <c r="R181" i="2"/>
  <c r="Q181" i="2"/>
  <c r="P181" i="2"/>
  <c r="N181" i="2"/>
  <c r="M181" i="2"/>
  <c r="L181" i="2"/>
  <c r="K181" i="2"/>
  <c r="G181" i="2"/>
  <c r="F181" i="2"/>
  <c r="D181" i="2"/>
  <c r="C181" i="2"/>
  <c r="B181" i="2"/>
  <c r="A181" i="2"/>
  <c r="O181" i="2" s="1"/>
  <c r="S180" i="2"/>
  <c r="R180" i="2"/>
  <c r="Q180" i="2"/>
  <c r="P180" i="2"/>
  <c r="O180" i="2"/>
  <c r="N180" i="2"/>
  <c r="M180" i="2"/>
  <c r="L180" i="2"/>
  <c r="I180" i="2" s="1"/>
  <c r="J180" i="2" s="1"/>
  <c r="K180" i="2"/>
  <c r="G180" i="2"/>
  <c r="F180" i="2"/>
  <c r="D180" i="2"/>
  <c r="C180" i="2"/>
  <c r="B180" i="2"/>
  <c r="A180" i="2"/>
  <c r="S179" i="2"/>
  <c r="R179" i="2"/>
  <c r="Q179" i="2"/>
  <c r="P179" i="2"/>
  <c r="N179" i="2"/>
  <c r="M179" i="2"/>
  <c r="L179" i="2"/>
  <c r="E179" i="2" s="1"/>
  <c r="K179" i="2"/>
  <c r="I179" i="2"/>
  <c r="J179" i="2" s="1"/>
  <c r="G179" i="2"/>
  <c r="F179" i="2"/>
  <c r="D179" i="2"/>
  <c r="C179" i="2"/>
  <c r="B179" i="2"/>
  <c r="A179" i="2"/>
  <c r="O179" i="2" s="1"/>
  <c r="S178" i="2"/>
  <c r="R178" i="2"/>
  <c r="Q178" i="2"/>
  <c r="P178" i="2"/>
  <c r="N178" i="2"/>
  <c r="M178" i="2"/>
  <c r="L178" i="2"/>
  <c r="K178" i="2"/>
  <c r="I178" i="2"/>
  <c r="J178" i="2" s="1"/>
  <c r="G178" i="2"/>
  <c r="F178" i="2"/>
  <c r="E178" i="2"/>
  <c r="D178" i="2"/>
  <c r="C178" i="2"/>
  <c r="B178" i="2"/>
  <c r="A178" i="2"/>
  <c r="O178" i="2" s="1"/>
  <c r="S177" i="2"/>
  <c r="R177" i="2"/>
  <c r="Q177" i="2"/>
  <c r="P177" i="2"/>
  <c r="O177" i="2"/>
  <c r="N177" i="2"/>
  <c r="M177" i="2"/>
  <c r="L177" i="2"/>
  <c r="K177" i="2"/>
  <c r="G177" i="2"/>
  <c r="F177" i="2"/>
  <c r="D177" i="2"/>
  <c r="C177" i="2"/>
  <c r="B177" i="2"/>
  <c r="A177" i="2"/>
  <c r="S176" i="2"/>
  <c r="R176" i="2"/>
  <c r="Q176" i="2"/>
  <c r="P176" i="2"/>
  <c r="O176" i="2"/>
  <c r="N176" i="2"/>
  <c r="M176" i="2"/>
  <c r="L176" i="2"/>
  <c r="E176" i="2" s="1"/>
  <c r="K176" i="2"/>
  <c r="G176" i="2"/>
  <c r="F176" i="2"/>
  <c r="D176" i="2"/>
  <c r="C176" i="2"/>
  <c r="B176" i="2"/>
  <c r="A176" i="2"/>
  <c r="S175" i="2"/>
  <c r="R175" i="2"/>
  <c r="Q175" i="2"/>
  <c r="P175" i="2"/>
  <c r="O175" i="2"/>
  <c r="N175" i="2"/>
  <c r="M175" i="2"/>
  <c r="L175" i="2" s="1"/>
  <c r="I175" i="2" s="1"/>
  <c r="K175" i="2"/>
  <c r="J175" i="2"/>
  <c r="G175" i="2"/>
  <c r="F175" i="2"/>
  <c r="E175" i="2"/>
  <c r="D175" i="2"/>
  <c r="C175" i="2"/>
  <c r="B175" i="2"/>
  <c r="A175" i="2"/>
  <c r="S174" i="2"/>
  <c r="R174" i="2"/>
  <c r="Q174" i="2"/>
  <c r="P174" i="2"/>
  <c r="N174" i="2"/>
  <c r="M174" i="2"/>
  <c r="L174" i="2" s="1"/>
  <c r="K174" i="2"/>
  <c r="I174" i="2"/>
  <c r="J174" i="2" s="1"/>
  <c r="G174" i="2"/>
  <c r="F174" i="2"/>
  <c r="E174" i="2"/>
  <c r="D174" i="2"/>
  <c r="C174" i="2"/>
  <c r="B174" i="2"/>
  <c r="A174" i="2"/>
  <c r="O174" i="2" s="1"/>
  <c r="S173" i="2"/>
  <c r="R173" i="2"/>
  <c r="Q173" i="2"/>
  <c r="P173" i="2"/>
  <c r="N173" i="2"/>
  <c r="M173" i="2"/>
  <c r="L173" i="2" s="1"/>
  <c r="K173" i="2"/>
  <c r="G173" i="2"/>
  <c r="F173" i="2"/>
  <c r="D173" i="2"/>
  <c r="C173" i="2"/>
  <c r="B173" i="2"/>
  <c r="A173" i="2"/>
  <c r="O173" i="2" s="1"/>
  <c r="S172" i="2"/>
  <c r="R172" i="2"/>
  <c r="Q172" i="2"/>
  <c r="P172" i="2"/>
  <c r="O172" i="2"/>
  <c r="N172" i="2"/>
  <c r="M172" i="2"/>
  <c r="L172" i="2"/>
  <c r="K172" i="2"/>
  <c r="G172" i="2"/>
  <c r="F172" i="2"/>
  <c r="D172" i="2"/>
  <c r="C172" i="2"/>
  <c r="B172" i="2"/>
  <c r="A172" i="2"/>
  <c r="S171" i="2"/>
  <c r="R171" i="2"/>
  <c r="Q171" i="2"/>
  <c r="P171" i="2"/>
  <c r="N171" i="2"/>
  <c r="M171" i="2"/>
  <c r="L171" i="2"/>
  <c r="E171" i="2" s="1"/>
  <c r="K171" i="2"/>
  <c r="J171" i="2"/>
  <c r="I171" i="2"/>
  <c r="G171" i="2"/>
  <c r="F171" i="2"/>
  <c r="D171" i="2"/>
  <c r="C171" i="2"/>
  <c r="B171" i="2"/>
  <c r="A171" i="2"/>
  <c r="O171" i="2" s="1"/>
  <c r="S170" i="2"/>
  <c r="R170" i="2"/>
  <c r="Q170" i="2"/>
  <c r="P170" i="2"/>
  <c r="N170" i="2"/>
  <c r="M170" i="2"/>
  <c r="L170" i="2"/>
  <c r="I170" i="2" s="1"/>
  <c r="K170" i="2"/>
  <c r="J170" i="2"/>
  <c r="G170" i="2"/>
  <c r="F170" i="2"/>
  <c r="D170" i="2"/>
  <c r="C170" i="2"/>
  <c r="B170" i="2"/>
  <c r="A170" i="2"/>
  <c r="O170" i="2" s="1"/>
  <c r="S169" i="2"/>
  <c r="R169" i="2"/>
  <c r="Q169" i="2"/>
  <c r="P169" i="2"/>
  <c r="O169" i="2"/>
  <c r="N169" i="2"/>
  <c r="M169" i="2"/>
  <c r="L169" i="2"/>
  <c r="K169" i="2"/>
  <c r="G169" i="2"/>
  <c r="F169" i="2"/>
  <c r="D169" i="2"/>
  <c r="C169" i="2"/>
  <c r="B169" i="2"/>
  <c r="A169" i="2"/>
  <c r="S168" i="2"/>
  <c r="R168" i="2"/>
  <c r="Q168" i="2"/>
  <c r="P168" i="2"/>
  <c r="O168" i="2"/>
  <c r="N168" i="2"/>
  <c r="M168" i="2"/>
  <c r="L168" i="2"/>
  <c r="K168" i="2"/>
  <c r="G168" i="2"/>
  <c r="F168" i="2"/>
  <c r="D168" i="2"/>
  <c r="C168" i="2"/>
  <c r="B168" i="2"/>
  <c r="A168" i="2"/>
  <c r="S167" i="2"/>
  <c r="R167" i="2"/>
  <c r="Q167" i="2"/>
  <c r="P167" i="2"/>
  <c r="O167" i="2"/>
  <c r="N167" i="2"/>
  <c r="M167" i="2"/>
  <c r="L167" i="2" s="1"/>
  <c r="K167" i="2"/>
  <c r="I167" i="2"/>
  <c r="J167" i="2" s="1"/>
  <c r="G167" i="2"/>
  <c r="F167" i="2"/>
  <c r="E167" i="2"/>
  <c r="D167" i="2"/>
  <c r="C167" i="2"/>
  <c r="B167" i="2"/>
  <c r="A167" i="2"/>
  <c r="S166" i="2"/>
  <c r="R166" i="2"/>
  <c r="Q166" i="2"/>
  <c r="P166" i="2"/>
  <c r="N166" i="2"/>
  <c r="M166" i="2"/>
  <c r="L166" i="2"/>
  <c r="E166" i="2" s="1"/>
  <c r="K166" i="2"/>
  <c r="I166" i="2"/>
  <c r="J166" i="2" s="1"/>
  <c r="G166" i="2"/>
  <c r="F166" i="2"/>
  <c r="D166" i="2"/>
  <c r="C166" i="2"/>
  <c r="B166" i="2"/>
  <c r="A166" i="2"/>
  <c r="O166" i="2" s="1"/>
  <c r="S165" i="2"/>
  <c r="R165" i="2"/>
  <c r="Q165" i="2"/>
  <c r="P165" i="2"/>
  <c r="N165" i="2"/>
  <c r="M165" i="2"/>
  <c r="L165" i="2"/>
  <c r="E165" i="2" s="1"/>
  <c r="K165" i="2"/>
  <c r="I165" i="2"/>
  <c r="J165" i="2" s="1"/>
  <c r="G165" i="2"/>
  <c r="F165" i="2"/>
  <c r="D165" i="2"/>
  <c r="C165" i="2"/>
  <c r="B165" i="2"/>
  <c r="A165" i="2"/>
  <c r="O165" i="2" s="1"/>
  <c r="S164" i="2"/>
  <c r="R164" i="2"/>
  <c r="Q164" i="2"/>
  <c r="P164" i="2"/>
  <c r="O164" i="2"/>
  <c r="N164" i="2"/>
  <c r="M164" i="2"/>
  <c r="L164" i="2"/>
  <c r="K164" i="2"/>
  <c r="G164" i="2"/>
  <c r="F164" i="2"/>
  <c r="D164" i="2"/>
  <c r="C164" i="2"/>
  <c r="B164" i="2"/>
  <c r="A164" i="2"/>
  <c r="S163" i="2"/>
  <c r="R163" i="2"/>
  <c r="Q163" i="2"/>
  <c r="P163" i="2"/>
  <c r="O163" i="2"/>
  <c r="N163" i="2"/>
  <c r="M163" i="2"/>
  <c r="L163" i="2" s="1"/>
  <c r="K163" i="2"/>
  <c r="G163" i="2"/>
  <c r="F163" i="2"/>
  <c r="D163" i="2"/>
  <c r="C163" i="2"/>
  <c r="B163" i="2"/>
  <c r="A163" i="2"/>
  <c r="S162" i="2"/>
  <c r="R162" i="2"/>
  <c r="Q162" i="2"/>
  <c r="P162" i="2"/>
  <c r="N162" i="2"/>
  <c r="M162" i="2"/>
  <c r="L162" i="2" s="1"/>
  <c r="I162" i="2" s="1"/>
  <c r="J162" i="2" s="1"/>
  <c r="K162" i="2"/>
  <c r="G162" i="2"/>
  <c r="F162" i="2"/>
  <c r="E162" i="2"/>
  <c r="D162" i="2"/>
  <c r="C162" i="2"/>
  <c r="B162" i="2"/>
  <c r="A162" i="2"/>
  <c r="O162" i="2" s="1"/>
  <c r="S161" i="2"/>
  <c r="R161" i="2"/>
  <c r="Q161" i="2"/>
  <c r="P161" i="2"/>
  <c r="N161" i="2"/>
  <c r="M161" i="2"/>
  <c r="L161" i="2" s="1"/>
  <c r="K161" i="2"/>
  <c r="G161" i="2"/>
  <c r="F161" i="2"/>
  <c r="D161" i="2"/>
  <c r="C161" i="2"/>
  <c r="B161" i="2"/>
  <c r="A161" i="2"/>
  <c r="O161" i="2" s="1"/>
  <c r="S160" i="2"/>
  <c r="R160" i="2"/>
  <c r="Q160" i="2"/>
  <c r="P160" i="2"/>
  <c r="O160" i="2"/>
  <c r="N160" i="2"/>
  <c r="M160" i="2"/>
  <c r="L160" i="2"/>
  <c r="K160" i="2"/>
  <c r="G160" i="2"/>
  <c r="F160" i="2"/>
  <c r="D160" i="2"/>
  <c r="C160" i="2"/>
  <c r="B160" i="2"/>
  <c r="A160" i="2"/>
  <c r="S159" i="2"/>
  <c r="R159" i="2"/>
  <c r="Q159" i="2"/>
  <c r="P159" i="2"/>
  <c r="N159" i="2"/>
  <c r="M159" i="2"/>
  <c r="L159" i="2" s="1"/>
  <c r="I159" i="2" s="1"/>
  <c r="J159" i="2" s="1"/>
  <c r="K159" i="2"/>
  <c r="G159" i="2"/>
  <c r="F159" i="2"/>
  <c r="D159" i="2"/>
  <c r="C159" i="2"/>
  <c r="B159" i="2"/>
  <c r="A159" i="2"/>
  <c r="O159" i="2" s="1"/>
  <c r="S158" i="2"/>
  <c r="R158" i="2"/>
  <c r="Q158" i="2"/>
  <c r="P158" i="2"/>
  <c r="N158" i="2"/>
  <c r="M158" i="2"/>
  <c r="L158" i="2" s="1"/>
  <c r="K158" i="2"/>
  <c r="G158" i="2"/>
  <c r="F158" i="2"/>
  <c r="D158" i="2"/>
  <c r="C158" i="2"/>
  <c r="B158" i="2"/>
  <c r="A158" i="2"/>
  <c r="O158" i="2" s="1"/>
  <c r="S157" i="2"/>
  <c r="R157" i="2"/>
  <c r="Q157" i="2"/>
  <c r="P157" i="2"/>
  <c r="O157" i="2"/>
  <c r="N157" i="2"/>
  <c r="M157" i="2"/>
  <c r="L157" i="2" s="1"/>
  <c r="I157" i="2" s="1"/>
  <c r="J157" i="2" s="1"/>
  <c r="K157" i="2"/>
  <c r="G157" i="2"/>
  <c r="F157" i="2"/>
  <c r="E157" i="2"/>
  <c r="D157" i="2"/>
  <c r="C157" i="2"/>
  <c r="B157" i="2"/>
  <c r="A157" i="2"/>
  <c r="S156" i="2"/>
  <c r="R156" i="2"/>
  <c r="Q156" i="2"/>
  <c r="P156" i="2"/>
  <c r="O156" i="2"/>
  <c r="N156" i="2"/>
  <c r="M156" i="2"/>
  <c r="L156" i="2"/>
  <c r="K156" i="2"/>
  <c r="G156" i="2"/>
  <c r="F156" i="2"/>
  <c r="D156" i="2"/>
  <c r="C156" i="2"/>
  <c r="B156" i="2"/>
  <c r="A156" i="2"/>
  <c r="S155" i="2"/>
  <c r="R155" i="2"/>
  <c r="Q155" i="2"/>
  <c r="P155" i="2"/>
  <c r="N155" i="2"/>
  <c r="M155" i="2"/>
  <c r="L155" i="2" s="1"/>
  <c r="E155" i="2" s="1"/>
  <c r="K155" i="2"/>
  <c r="J155" i="2"/>
  <c r="I155" i="2"/>
  <c r="G155" i="2"/>
  <c r="F155" i="2"/>
  <c r="D155" i="2"/>
  <c r="C155" i="2"/>
  <c r="B155" i="2"/>
  <c r="A155" i="2"/>
  <c r="O155" i="2" s="1"/>
  <c r="S154" i="2"/>
  <c r="R154" i="2"/>
  <c r="Q154" i="2"/>
  <c r="P154" i="2"/>
  <c r="N154" i="2"/>
  <c r="M154" i="2"/>
  <c r="L154" i="2"/>
  <c r="E154" i="2" s="1"/>
  <c r="K154" i="2"/>
  <c r="I154" i="2"/>
  <c r="J154" i="2" s="1"/>
  <c r="G154" i="2"/>
  <c r="F154" i="2"/>
  <c r="D154" i="2"/>
  <c r="C154" i="2"/>
  <c r="B154" i="2"/>
  <c r="A154" i="2"/>
  <c r="O154" i="2" s="1"/>
  <c r="S153" i="2"/>
  <c r="R153" i="2"/>
  <c r="Q153" i="2"/>
  <c r="P153" i="2"/>
  <c r="O153" i="2"/>
  <c r="N153" i="2"/>
  <c r="M153" i="2"/>
  <c r="L153" i="2"/>
  <c r="K153" i="2"/>
  <c r="G153" i="2"/>
  <c r="F153" i="2"/>
  <c r="D153" i="2"/>
  <c r="C153" i="2"/>
  <c r="B153" i="2"/>
  <c r="A153" i="2"/>
  <c r="S152" i="2"/>
  <c r="R152" i="2"/>
  <c r="Q152" i="2"/>
  <c r="P152" i="2"/>
  <c r="O152" i="2"/>
  <c r="N152" i="2"/>
  <c r="M152" i="2"/>
  <c r="L152" i="2"/>
  <c r="K152" i="2"/>
  <c r="G152" i="2"/>
  <c r="F152" i="2"/>
  <c r="D152" i="2"/>
  <c r="C152" i="2"/>
  <c r="B152" i="2"/>
  <c r="A152" i="2"/>
  <c r="S151" i="2"/>
  <c r="R151" i="2"/>
  <c r="Q151" i="2"/>
  <c r="P151" i="2"/>
  <c r="O151" i="2"/>
  <c r="N151" i="2"/>
  <c r="M151" i="2"/>
  <c r="L151" i="2" s="1"/>
  <c r="K151" i="2"/>
  <c r="I151" i="2"/>
  <c r="J151" i="2" s="1"/>
  <c r="G151" i="2"/>
  <c r="F151" i="2"/>
  <c r="E151" i="2"/>
  <c r="D151" i="2"/>
  <c r="C151" i="2"/>
  <c r="B151" i="2"/>
  <c r="A151" i="2"/>
  <c r="S150" i="2"/>
  <c r="R150" i="2"/>
  <c r="Q150" i="2"/>
  <c r="P150" i="2"/>
  <c r="N150" i="2"/>
  <c r="M150" i="2"/>
  <c r="L150" i="2"/>
  <c r="E150" i="2" s="1"/>
  <c r="K150" i="2"/>
  <c r="I150" i="2"/>
  <c r="J150" i="2" s="1"/>
  <c r="G150" i="2"/>
  <c r="F150" i="2"/>
  <c r="D150" i="2"/>
  <c r="C150" i="2"/>
  <c r="B150" i="2"/>
  <c r="A150" i="2"/>
  <c r="O150" i="2" s="1"/>
  <c r="S149" i="2"/>
  <c r="R149" i="2"/>
  <c r="Q149" i="2"/>
  <c r="P149" i="2"/>
  <c r="N149" i="2"/>
  <c r="M149" i="2"/>
  <c r="L149" i="2"/>
  <c r="E149" i="2" s="1"/>
  <c r="K149" i="2"/>
  <c r="I149" i="2"/>
  <c r="J149" i="2" s="1"/>
  <c r="G149" i="2"/>
  <c r="F149" i="2"/>
  <c r="D149" i="2"/>
  <c r="C149" i="2"/>
  <c r="B149" i="2"/>
  <c r="A149" i="2"/>
  <c r="O149" i="2" s="1"/>
  <c r="S148" i="2"/>
  <c r="R148" i="2"/>
  <c r="Q148" i="2"/>
  <c r="P148" i="2"/>
  <c r="O148" i="2"/>
  <c r="N148" i="2"/>
  <c r="M148" i="2"/>
  <c r="L148" i="2"/>
  <c r="K148" i="2"/>
  <c r="G148" i="2"/>
  <c r="F148" i="2"/>
  <c r="D148" i="2"/>
  <c r="C148" i="2"/>
  <c r="B148" i="2"/>
  <c r="A148" i="2"/>
  <c r="S147" i="2"/>
  <c r="R147" i="2"/>
  <c r="Q147" i="2"/>
  <c r="P147" i="2"/>
  <c r="O147" i="2"/>
  <c r="N147" i="2"/>
  <c r="M147" i="2"/>
  <c r="L147" i="2" s="1"/>
  <c r="K147" i="2"/>
  <c r="G147" i="2"/>
  <c r="F147" i="2"/>
  <c r="D147" i="2"/>
  <c r="C147" i="2"/>
  <c r="B147" i="2"/>
  <c r="A147" i="2"/>
  <c r="S146" i="2"/>
  <c r="R146" i="2"/>
  <c r="Q146" i="2"/>
  <c r="P146" i="2"/>
  <c r="N146" i="2"/>
  <c r="M146" i="2"/>
  <c r="L146" i="2" s="1"/>
  <c r="I146" i="2" s="1"/>
  <c r="J146" i="2" s="1"/>
  <c r="K146" i="2"/>
  <c r="G146" i="2"/>
  <c r="F146" i="2"/>
  <c r="D146" i="2"/>
  <c r="C146" i="2"/>
  <c r="B146" i="2"/>
  <c r="A146" i="2"/>
  <c r="O146" i="2" s="1"/>
  <c r="S145" i="2"/>
  <c r="R145" i="2"/>
  <c r="Q145" i="2"/>
  <c r="P145" i="2"/>
  <c r="N145" i="2"/>
  <c r="M145" i="2"/>
  <c r="L145" i="2" s="1"/>
  <c r="K145" i="2"/>
  <c r="G145" i="2"/>
  <c r="F145" i="2"/>
  <c r="D145" i="2"/>
  <c r="C145" i="2"/>
  <c r="B145" i="2"/>
  <c r="A145" i="2"/>
  <c r="O145" i="2" s="1"/>
  <c r="S144" i="2"/>
  <c r="R144" i="2"/>
  <c r="Q144" i="2"/>
  <c r="P144" i="2"/>
  <c r="O144" i="2"/>
  <c r="N144" i="2"/>
  <c r="M144" i="2"/>
  <c r="L144" i="2"/>
  <c r="K144" i="2"/>
  <c r="G144" i="2"/>
  <c r="F144" i="2"/>
  <c r="D144" i="2"/>
  <c r="C144" i="2"/>
  <c r="B144" i="2"/>
  <c r="A144" i="2"/>
  <c r="S143" i="2"/>
  <c r="R143" i="2"/>
  <c r="Q143" i="2"/>
  <c r="P143" i="2"/>
  <c r="N143" i="2"/>
  <c r="M143" i="2"/>
  <c r="L143" i="2" s="1"/>
  <c r="I143" i="2" s="1"/>
  <c r="K143" i="2"/>
  <c r="J143" i="2"/>
  <c r="G143" i="2"/>
  <c r="F143" i="2"/>
  <c r="D143" i="2"/>
  <c r="C143" i="2"/>
  <c r="B143" i="2"/>
  <c r="A143" i="2"/>
  <c r="O143" i="2" s="1"/>
  <c r="S142" i="2"/>
  <c r="R142" i="2"/>
  <c r="Q142" i="2"/>
  <c r="P142" i="2"/>
  <c r="N142" i="2"/>
  <c r="M142" i="2"/>
  <c r="L142" i="2" s="1"/>
  <c r="K142" i="2"/>
  <c r="G142" i="2"/>
  <c r="F142" i="2"/>
  <c r="D142" i="2"/>
  <c r="C142" i="2"/>
  <c r="B142" i="2"/>
  <c r="A142" i="2"/>
  <c r="O142" i="2" s="1"/>
  <c r="S141" i="2"/>
  <c r="R141" i="2"/>
  <c r="Q141" i="2"/>
  <c r="P141" i="2"/>
  <c r="O141" i="2"/>
  <c r="N141" i="2"/>
  <c r="M141" i="2"/>
  <c r="L141" i="2" s="1"/>
  <c r="I141" i="2" s="1"/>
  <c r="J141" i="2" s="1"/>
  <c r="K141" i="2"/>
  <c r="G141" i="2"/>
  <c r="F141" i="2"/>
  <c r="D141" i="2"/>
  <c r="C141" i="2"/>
  <c r="B141" i="2"/>
  <c r="A141" i="2"/>
  <c r="S140" i="2"/>
  <c r="R140" i="2"/>
  <c r="Q140" i="2"/>
  <c r="P140" i="2"/>
  <c r="O140" i="2"/>
  <c r="N140" i="2"/>
  <c r="M140" i="2"/>
  <c r="L140" i="2"/>
  <c r="K140" i="2"/>
  <c r="G140" i="2"/>
  <c r="F140" i="2"/>
  <c r="D140" i="2"/>
  <c r="C140" i="2"/>
  <c r="B140" i="2"/>
  <c r="A140" i="2"/>
  <c r="S139" i="2"/>
  <c r="R139" i="2"/>
  <c r="Q139" i="2"/>
  <c r="P139" i="2"/>
  <c r="N139" i="2"/>
  <c r="M139" i="2"/>
  <c r="L139" i="2" s="1"/>
  <c r="E139" i="2" s="1"/>
  <c r="K139" i="2"/>
  <c r="J139" i="2"/>
  <c r="I139" i="2"/>
  <c r="G139" i="2"/>
  <c r="F139" i="2"/>
  <c r="D139" i="2"/>
  <c r="C139" i="2"/>
  <c r="B139" i="2"/>
  <c r="A139" i="2"/>
  <c r="O139" i="2" s="1"/>
  <c r="S138" i="2"/>
  <c r="R138" i="2"/>
  <c r="Q138" i="2"/>
  <c r="P138" i="2"/>
  <c r="N138" i="2"/>
  <c r="M138" i="2"/>
  <c r="L138" i="2"/>
  <c r="E138" i="2" s="1"/>
  <c r="K138" i="2"/>
  <c r="I138" i="2"/>
  <c r="J138" i="2" s="1"/>
  <c r="G138" i="2"/>
  <c r="F138" i="2"/>
  <c r="D138" i="2"/>
  <c r="C138" i="2"/>
  <c r="B138" i="2"/>
  <c r="A138" i="2"/>
  <c r="O138" i="2" s="1"/>
  <c r="S137" i="2"/>
  <c r="R137" i="2"/>
  <c r="Q137" i="2"/>
  <c r="P137" i="2"/>
  <c r="O137" i="2"/>
  <c r="N137" i="2"/>
  <c r="M137" i="2"/>
  <c r="L137" i="2"/>
  <c r="K137" i="2"/>
  <c r="G137" i="2"/>
  <c r="F137" i="2"/>
  <c r="D137" i="2"/>
  <c r="C137" i="2"/>
  <c r="B137" i="2"/>
  <c r="A137" i="2"/>
  <c r="S136" i="2"/>
  <c r="R136" i="2"/>
  <c r="Q136" i="2"/>
  <c r="P136" i="2"/>
  <c r="N136" i="2"/>
  <c r="M136" i="2"/>
  <c r="L136" i="2" s="1"/>
  <c r="K136" i="2"/>
  <c r="G136" i="2"/>
  <c r="F136" i="2"/>
  <c r="D136" i="2"/>
  <c r="C136" i="2"/>
  <c r="B136" i="2"/>
  <c r="A136" i="2"/>
  <c r="O136" i="2" s="1"/>
  <c r="S135" i="2"/>
  <c r="R135" i="2"/>
  <c r="Q135" i="2"/>
  <c r="P135" i="2"/>
  <c r="N135" i="2"/>
  <c r="M135" i="2"/>
  <c r="L135" i="2"/>
  <c r="E135" i="2" s="1"/>
  <c r="K135" i="2"/>
  <c r="I135" i="2"/>
  <c r="J135" i="2" s="1"/>
  <c r="G135" i="2"/>
  <c r="F135" i="2"/>
  <c r="D135" i="2"/>
  <c r="C135" i="2"/>
  <c r="B135" i="2"/>
  <c r="A135" i="2"/>
  <c r="O135" i="2" s="1"/>
  <c r="S134" i="2"/>
  <c r="R134" i="2"/>
  <c r="Q134" i="2"/>
  <c r="P134" i="2"/>
  <c r="O134" i="2"/>
  <c r="N134" i="2"/>
  <c r="M134" i="2"/>
  <c r="L134" i="2"/>
  <c r="K134" i="2"/>
  <c r="G134" i="2"/>
  <c r="F134" i="2"/>
  <c r="D134" i="2"/>
  <c r="C134" i="2"/>
  <c r="B134" i="2"/>
  <c r="A134" i="2"/>
  <c r="S133" i="2"/>
  <c r="R133" i="2"/>
  <c r="Q133" i="2"/>
  <c r="P133" i="2"/>
  <c r="O133" i="2"/>
  <c r="N133" i="2"/>
  <c r="M133" i="2"/>
  <c r="L133" i="2"/>
  <c r="E133" i="2" s="1"/>
  <c r="K133" i="2"/>
  <c r="I133" i="2"/>
  <c r="J133" i="2" s="1"/>
  <c r="G133" i="2"/>
  <c r="F133" i="2"/>
  <c r="D133" i="2"/>
  <c r="C133" i="2"/>
  <c r="B133" i="2"/>
  <c r="A133" i="2"/>
  <c r="S132" i="2"/>
  <c r="R132" i="2"/>
  <c r="Q132" i="2"/>
  <c r="P132" i="2"/>
  <c r="N132" i="2"/>
  <c r="M132" i="2"/>
  <c r="L132" i="2"/>
  <c r="E132" i="2" s="1"/>
  <c r="K132" i="2"/>
  <c r="J132" i="2"/>
  <c r="I132" i="2"/>
  <c r="G132" i="2"/>
  <c r="F132" i="2"/>
  <c r="D132" i="2"/>
  <c r="C132" i="2"/>
  <c r="B132" i="2"/>
  <c r="A132" i="2"/>
  <c r="O132" i="2" s="1"/>
  <c r="S131" i="2"/>
  <c r="R131" i="2"/>
  <c r="Q131" i="2"/>
  <c r="P131" i="2"/>
  <c r="O131" i="2"/>
  <c r="N131" i="2"/>
  <c r="M131" i="2"/>
  <c r="L131" i="2" s="1"/>
  <c r="I131" i="2" s="1"/>
  <c r="J131" i="2" s="1"/>
  <c r="K131" i="2"/>
  <c r="G131" i="2"/>
  <c r="F131" i="2"/>
  <c r="E131" i="2"/>
  <c r="D131" i="2"/>
  <c r="C131" i="2"/>
  <c r="B131" i="2"/>
  <c r="A131" i="2"/>
  <c r="S130" i="2"/>
  <c r="R130" i="2"/>
  <c r="Q130" i="2"/>
  <c r="P130" i="2"/>
  <c r="O130" i="2"/>
  <c r="N130" i="2"/>
  <c r="M130" i="2"/>
  <c r="L130" i="2" s="1"/>
  <c r="K130" i="2"/>
  <c r="G130" i="2"/>
  <c r="F130" i="2"/>
  <c r="D130" i="2"/>
  <c r="C130" i="2"/>
  <c r="B130" i="2"/>
  <c r="A130" i="2"/>
  <c r="S129" i="2"/>
  <c r="R129" i="2"/>
  <c r="Q129" i="2"/>
  <c r="P129" i="2"/>
  <c r="N129" i="2"/>
  <c r="M129" i="2"/>
  <c r="L129" i="2" s="1"/>
  <c r="K129" i="2"/>
  <c r="G129" i="2"/>
  <c r="F129" i="2"/>
  <c r="D129" i="2"/>
  <c r="C129" i="2"/>
  <c r="B129" i="2"/>
  <c r="A129" i="2"/>
  <c r="O129" i="2" s="1"/>
  <c r="S128" i="2"/>
  <c r="R128" i="2"/>
  <c r="Q128" i="2"/>
  <c r="P128" i="2"/>
  <c r="N128" i="2"/>
  <c r="M128" i="2"/>
  <c r="L128" i="2" s="1"/>
  <c r="I128" i="2" s="1"/>
  <c r="J128" i="2" s="1"/>
  <c r="K128" i="2"/>
  <c r="G128" i="2"/>
  <c r="F128" i="2"/>
  <c r="D128" i="2"/>
  <c r="C128" i="2"/>
  <c r="B128" i="2"/>
  <c r="A128" i="2"/>
  <c r="O128" i="2" s="1"/>
  <c r="S127" i="2"/>
  <c r="R127" i="2"/>
  <c r="Q127" i="2"/>
  <c r="P127" i="2"/>
  <c r="N127" i="2"/>
  <c r="M127" i="2"/>
  <c r="L127" i="2"/>
  <c r="E127" i="2" s="1"/>
  <c r="K127" i="2"/>
  <c r="I127" i="2"/>
  <c r="J127" i="2" s="1"/>
  <c r="G127" i="2"/>
  <c r="F127" i="2"/>
  <c r="D127" i="2"/>
  <c r="C127" i="2"/>
  <c r="B127" i="2"/>
  <c r="A127" i="2"/>
  <c r="O127" i="2" s="1"/>
  <c r="S126" i="2"/>
  <c r="R126" i="2"/>
  <c r="Q126" i="2"/>
  <c r="P126" i="2"/>
  <c r="O126" i="2"/>
  <c r="N126" i="2"/>
  <c r="M126" i="2"/>
  <c r="L126" i="2"/>
  <c r="K126" i="2"/>
  <c r="G126" i="2"/>
  <c r="F126" i="2"/>
  <c r="D126" i="2"/>
  <c r="C126" i="2"/>
  <c r="B126" i="2"/>
  <c r="A126" i="2"/>
  <c r="S125" i="2"/>
  <c r="R125" i="2"/>
  <c r="Q125" i="2"/>
  <c r="P125" i="2"/>
  <c r="N125" i="2"/>
  <c r="M125" i="2"/>
  <c r="L125" i="2"/>
  <c r="E125" i="2" s="1"/>
  <c r="K125" i="2"/>
  <c r="I125" i="2"/>
  <c r="J125" i="2" s="1"/>
  <c r="G125" i="2"/>
  <c r="F125" i="2"/>
  <c r="D125" i="2"/>
  <c r="C125" i="2"/>
  <c r="B125" i="2"/>
  <c r="A125" i="2"/>
  <c r="O125" i="2" s="1"/>
  <c r="S124" i="2"/>
  <c r="R124" i="2"/>
  <c r="Q124" i="2"/>
  <c r="P124" i="2"/>
  <c r="N124" i="2"/>
  <c r="M124" i="2"/>
  <c r="L124" i="2"/>
  <c r="E124" i="2" s="1"/>
  <c r="K124" i="2"/>
  <c r="I124" i="2"/>
  <c r="J124" i="2" s="1"/>
  <c r="G124" i="2"/>
  <c r="F124" i="2"/>
  <c r="D124" i="2"/>
  <c r="C124" i="2"/>
  <c r="B124" i="2"/>
  <c r="A124" i="2"/>
  <c r="O124" i="2" s="1"/>
  <c r="S123" i="2"/>
  <c r="R123" i="2"/>
  <c r="Q123" i="2"/>
  <c r="P123" i="2"/>
  <c r="O123" i="2"/>
  <c r="N123" i="2"/>
  <c r="M123" i="2"/>
  <c r="L123" i="2" s="1"/>
  <c r="K123" i="2"/>
  <c r="G123" i="2"/>
  <c r="F123" i="2"/>
  <c r="D123" i="2"/>
  <c r="C123" i="2"/>
  <c r="B123" i="2"/>
  <c r="A123" i="2"/>
  <c r="S122" i="2"/>
  <c r="R122" i="2"/>
  <c r="Q122" i="2"/>
  <c r="P122" i="2"/>
  <c r="O122" i="2"/>
  <c r="N122" i="2"/>
  <c r="M122" i="2"/>
  <c r="L122" i="2" s="1"/>
  <c r="K122" i="2"/>
  <c r="G122" i="2"/>
  <c r="F122" i="2"/>
  <c r="D122" i="2"/>
  <c r="C122" i="2"/>
  <c r="B122" i="2"/>
  <c r="A122" i="2"/>
  <c r="S121" i="2"/>
  <c r="R121" i="2"/>
  <c r="Q121" i="2"/>
  <c r="P121" i="2"/>
  <c r="N121" i="2"/>
  <c r="M121" i="2"/>
  <c r="L121" i="2" s="1"/>
  <c r="I121" i="2" s="1"/>
  <c r="J121" i="2" s="1"/>
  <c r="K121" i="2"/>
  <c r="G121" i="2"/>
  <c r="F121" i="2"/>
  <c r="D121" i="2"/>
  <c r="C121" i="2"/>
  <c r="B121" i="2"/>
  <c r="A121" i="2"/>
  <c r="O121" i="2" s="1"/>
  <c r="S120" i="2"/>
  <c r="R120" i="2"/>
  <c r="Q120" i="2"/>
  <c r="P120" i="2"/>
  <c r="N120" i="2"/>
  <c r="M120" i="2"/>
  <c r="L120" i="2" s="1"/>
  <c r="I120" i="2" s="1"/>
  <c r="J120" i="2" s="1"/>
  <c r="K120" i="2"/>
  <c r="G120" i="2"/>
  <c r="F120" i="2"/>
  <c r="E120" i="2"/>
  <c r="D120" i="2"/>
  <c r="C120" i="2"/>
  <c r="B120" i="2"/>
  <c r="A120" i="2"/>
  <c r="O120" i="2" s="1"/>
  <c r="S119" i="2"/>
  <c r="R119" i="2"/>
  <c r="Q119" i="2"/>
  <c r="P119" i="2"/>
  <c r="N119" i="2"/>
  <c r="M119" i="2"/>
  <c r="L119" i="2"/>
  <c r="E119" i="2" s="1"/>
  <c r="K119" i="2"/>
  <c r="I119" i="2"/>
  <c r="J119" i="2" s="1"/>
  <c r="G119" i="2"/>
  <c r="F119" i="2"/>
  <c r="D119" i="2"/>
  <c r="C119" i="2"/>
  <c r="B119" i="2"/>
  <c r="A119" i="2"/>
  <c r="O119" i="2" s="1"/>
  <c r="S118" i="2"/>
  <c r="R118" i="2"/>
  <c r="Q118" i="2"/>
  <c r="P118" i="2"/>
  <c r="O118" i="2"/>
  <c r="N118" i="2"/>
  <c r="M118" i="2"/>
  <c r="L118" i="2"/>
  <c r="K118" i="2"/>
  <c r="G118" i="2"/>
  <c r="F118" i="2"/>
  <c r="D118" i="2"/>
  <c r="C118" i="2"/>
  <c r="B118" i="2"/>
  <c r="A118" i="2"/>
  <c r="S117" i="2"/>
  <c r="R117" i="2"/>
  <c r="Q117" i="2"/>
  <c r="P117" i="2"/>
  <c r="O117" i="2"/>
  <c r="N117" i="2"/>
  <c r="M117" i="2"/>
  <c r="L117" i="2"/>
  <c r="E117" i="2" s="1"/>
  <c r="K117" i="2"/>
  <c r="I117" i="2"/>
  <c r="J117" i="2" s="1"/>
  <c r="G117" i="2"/>
  <c r="F117" i="2"/>
  <c r="D117" i="2"/>
  <c r="C117" i="2"/>
  <c r="B117" i="2"/>
  <c r="A117" i="2"/>
  <c r="S116" i="2"/>
  <c r="R116" i="2"/>
  <c r="Q116" i="2"/>
  <c r="P116" i="2"/>
  <c r="N116" i="2"/>
  <c r="M116" i="2"/>
  <c r="L116" i="2"/>
  <c r="E116" i="2" s="1"/>
  <c r="K116" i="2"/>
  <c r="I116" i="2"/>
  <c r="J116" i="2" s="1"/>
  <c r="G116" i="2"/>
  <c r="F116" i="2"/>
  <c r="D116" i="2"/>
  <c r="C116" i="2"/>
  <c r="B116" i="2"/>
  <c r="A116" i="2"/>
  <c r="O116" i="2" s="1"/>
  <c r="S115" i="2"/>
  <c r="R115" i="2"/>
  <c r="Q115" i="2"/>
  <c r="P115" i="2"/>
  <c r="O115" i="2"/>
  <c r="N115" i="2"/>
  <c r="M115" i="2"/>
  <c r="L115" i="2" s="1"/>
  <c r="K115" i="2"/>
  <c r="G115" i="2"/>
  <c r="F115" i="2"/>
  <c r="D115" i="2"/>
  <c r="C115" i="2"/>
  <c r="B115" i="2"/>
  <c r="A115" i="2"/>
  <c r="S114" i="2"/>
  <c r="R114" i="2"/>
  <c r="Q114" i="2"/>
  <c r="P114" i="2"/>
  <c r="O114" i="2"/>
  <c r="N114" i="2"/>
  <c r="M114" i="2"/>
  <c r="L114" i="2" s="1"/>
  <c r="K114" i="2"/>
  <c r="G114" i="2"/>
  <c r="F114" i="2"/>
  <c r="D114" i="2"/>
  <c r="C114" i="2"/>
  <c r="B114" i="2"/>
  <c r="A114" i="2"/>
  <c r="S113" i="2"/>
  <c r="R113" i="2"/>
  <c r="Q113" i="2"/>
  <c r="P113" i="2"/>
  <c r="N113" i="2"/>
  <c r="M113" i="2"/>
  <c r="L113" i="2" s="1"/>
  <c r="I113" i="2" s="1"/>
  <c r="K113" i="2"/>
  <c r="J113" i="2"/>
  <c r="G113" i="2"/>
  <c r="F113" i="2"/>
  <c r="E113" i="2"/>
  <c r="D113" i="2"/>
  <c r="C113" i="2"/>
  <c r="B113" i="2"/>
  <c r="A113" i="2"/>
  <c r="O113" i="2" s="1"/>
  <c r="S112" i="2"/>
  <c r="R112" i="2"/>
  <c r="Q112" i="2"/>
  <c r="P112" i="2"/>
  <c r="N112" i="2"/>
  <c r="M112" i="2"/>
  <c r="L112" i="2" s="1"/>
  <c r="I112" i="2" s="1"/>
  <c r="J112" i="2" s="1"/>
  <c r="K112" i="2"/>
  <c r="G112" i="2"/>
  <c r="F112" i="2"/>
  <c r="D112" i="2"/>
  <c r="C112" i="2"/>
  <c r="B112" i="2"/>
  <c r="A112" i="2"/>
  <c r="O112" i="2" s="1"/>
  <c r="S111" i="2"/>
  <c r="R111" i="2"/>
  <c r="Q111" i="2"/>
  <c r="P111" i="2"/>
  <c r="N111" i="2"/>
  <c r="M111" i="2"/>
  <c r="L111" i="2"/>
  <c r="E111" i="2" s="1"/>
  <c r="K111" i="2"/>
  <c r="I111" i="2"/>
  <c r="J111" i="2" s="1"/>
  <c r="G111" i="2"/>
  <c r="F111" i="2"/>
  <c r="D111" i="2"/>
  <c r="C111" i="2"/>
  <c r="B111" i="2"/>
  <c r="A111" i="2"/>
  <c r="O111" i="2" s="1"/>
  <c r="S110" i="2"/>
  <c r="R110" i="2"/>
  <c r="Q110" i="2"/>
  <c r="P110" i="2"/>
  <c r="O110" i="2"/>
  <c r="N110" i="2"/>
  <c r="M110" i="2"/>
  <c r="L110" i="2"/>
  <c r="K110" i="2"/>
  <c r="G110" i="2"/>
  <c r="F110" i="2"/>
  <c r="D110" i="2"/>
  <c r="C110" i="2"/>
  <c r="B110" i="2"/>
  <c r="A110" i="2"/>
  <c r="S109" i="2"/>
  <c r="R109" i="2"/>
  <c r="Q109" i="2"/>
  <c r="P109" i="2"/>
  <c r="O109" i="2"/>
  <c r="N109" i="2"/>
  <c r="M109" i="2"/>
  <c r="L109" i="2"/>
  <c r="E109" i="2" s="1"/>
  <c r="K109" i="2"/>
  <c r="J109" i="2"/>
  <c r="I109" i="2"/>
  <c r="G109" i="2"/>
  <c r="F109" i="2"/>
  <c r="D109" i="2"/>
  <c r="C109" i="2"/>
  <c r="B109" i="2"/>
  <c r="A109" i="2"/>
  <c r="S108" i="2"/>
  <c r="R108" i="2"/>
  <c r="Q108" i="2"/>
  <c r="P108" i="2"/>
  <c r="O108" i="2"/>
  <c r="N108" i="2"/>
  <c r="M108" i="2"/>
  <c r="L108" i="2" s="1"/>
  <c r="K108" i="2"/>
  <c r="G108" i="2"/>
  <c r="F108" i="2"/>
  <c r="D108" i="2"/>
  <c r="C108" i="2"/>
  <c r="B108" i="2"/>
  <c r="A108" i="2"/>
  <c r="S107" i="2"/>
  <c r="R107" i="2"/>
  <c r="Q107" i="2"/>
  <c r="P107" i="2"/>
  <c r="O107" i="2"/>
  <c r="N107" i="2"/>
  <c r="M107" i="2"/>
  <c r="L107" i="2" s="1"/>
  <c r="K107" i="2"/>
  <c r="G107" i="2"/>
  <c r="F107" i="2"/>
  <c r="D107" i="2"/>
  <c r="C107" i="2"/>
  <c r="B107" i="2"/>
  <c r="A107" i="2"/>
  <c r="S106" i="2"/>
  <c r="R106" i="2"/>
  <c r="Q106" i="2"/>
  <c r="P106" i="2"/>
  <c r="O106" i="2"/>
  <c r="N106" i="2"/>
  <c r="M106" i="2"/>
  <c r="L106" i="2" s="1"/>
  <c r="I106" i="2" s="1"/>
  <c r="K106" i="2"/>
  <c r="J106" i="2"/>
  <c r="G106" i="2"/>
  <c r="F106" i="2"/>
  <c r="E106" i="2"/>
  <c r="D106" i="2"/>
  <c r="C106" i="2"/>
  <c r="B106" i="2"/>
  <c r="A106" i="2"/>
  <c r="S105" i="2"/>
  <c r="R105" i="2"/>
  <c r="Q105" i="2"/>
  <c r="P105" i="2"/>
  <c r="N105" i="2"/>
  <c r="M105" i="2"/>
  <c r="L105" i="2" s="1"/>
  <c r="I105" i="2" s="1"/>
  <c r="K105" i="2"/>
  <c r="J105" i="2"/>
  <c r="G105" i="2"/>
  <c r="F105" i="2"/>
  <c r="E105" i="2"/>
  <c r="D105" i="2"/>
  <c r="C105" i="2"/>
  <c r="B105" i="2"/>
  <c r="A105" i="2"/>
  <c r="O105" i="2" s="1"/>
  <c r="S104" i="2"/>
  <c r="R104" i="2"/>
  <c r="Q104" i="2"/>
  <c r="P104" i="2"/>
  <c r="N104" i="2"/>
  <c r="M104" i="2"/>
  <c r="L104" i="2" s="1"/>
  <c r="K104" i="2"/>
  <c r="I104" i="2"/>
  <c r="J104" i="2" s="1"/>
  <c r="G104" i="2"/>
  <c r="F104" i="2"/>
  <c r="E104" i="2"/>
  <c r="D104" i="2"/>
  <c r="C104" i="2"/>
  <c r="B104" i="2"/>
  <c r="A104" i="2"/>
  <c r="O104" i="2" s="1"/>
  <c r="S103" i="2"/>
  <c r="R103" i="2"/>
  <c r="Q103" i="2"/>
  <c r="P103" i="2"/>
  <c r="N103" i="2"/>
  <c r="M103" i="2"/>
  <c r="L103" i="2"/>
  <c r="E103" i="2" s="1"/>
  <c r="K103" i="2"/>
  <c r="I103" i="2"/>
  <c r="J103" i="2" s="1"/>
  <c r="G103" i="2"/>
  <c r="F103" i="2"/>
  <c r="D103" i="2"/>
  <c r="C103" i="2"/>
  <c r="B103" i="2"/>
  <c r="A103" i="2"/>
  <c r="O103" i="2" s="1"/>
  <c r="S102" i="2"/>
  <c r="R102" i="2"/>
  <c r="Q102" i="2"/>
  <c r="P102" i="2"/>
  <c r="N102" i="2"/>
  <c r="M102" i="2"/>
  <c r="L102" i="2"/>
  <c r="E102" i="2" s="1"/>
  <c r="K102" i="2"/>
  <c r="G102" i="2"/>
  <c r="F102" i="2"/>
  <c r="D102" i="2"/>
  <c r="C102" i="2"/>
  <c r="B102" i="2"/>
  <c r="A102" i="2"/>
  <c r="O102" i="2" s="1"/>
  <c r="S101" i="2"/>
  <c r="R101" i="2"/>
  <c r="Q101" i="2"/>
  <c r="P101" i="2"/>
  <c r="N101" i="2"/>
  <c r="M101" i="2"/>
  <c r="L101" i="2"/>
  <c r="E101" i="2" s="1"/>
  <c r="K101" i="2"/>
  <c r="G101" i="2"/>
  <c r="F101" i="2"/>
  <c r="D101" i="2"/>
  <c r="C101" i="2"/>
  <c r="B101" i="2"/>
  <c r="A101" i="2"/>
  <c r="O101" i="2" s="1"/>
  <c r="S100" i="2"/>
  <c r="R100" i="2"/>
  <c r="Q100" i="2"/>
  <c r="P100" i="2"/>
  <c r="O100" i="2"/>
  <c r="N100" i="2"/>
  <c r="M100" i="2"/>
  <c r="L100" i="2"/>
  <c r="I100" i="2" s="1"/>
  <c r="J100" i="2" s="1"/>
  <c r="K100" i="2"/>
  <c r="G100" i="2"/>
  <c r="F100" i="2"/>
  <c r="D100" i="2"/>
  <c r="C100" i="2"/>
  <c r="B100" i="2"/>
  <c r="A100" i="2"/>
  <c r="S99" i="2"/>
  <c r="R99" i="2"/>
  <c r="Q99" i="2"/>
  <c r="P99" i="2"/>
  <c r="O99" i="2"/>
  <c r="N99" i="2"/>
  <c r="M99" i="2"/>
  <c r="L99" i="2" s="1"/>
  <c r="K99" i="2"/>
  <c r="G99" i="2"/>
  <c r="F99" i="2"/>
  <c r="D99" i="2"/>
  <c r="C99" i="2"/>
  <c r="B99" i="2"/>
  <c r="A99" i="2"/>
  <c r="S98" i="2"/>
  <c r="R98" i="2"/>
  <c r="Q98" i="2"/>
  <c r="P98" i="2"/>
  <c r="O98" i="2"/>
  <c r="N98" i="2"/>
  <c r="M98" i="2"/>
  <c r="L98" i="2" s="1"/>
  <c r="I98" i="2" s="1"/>
  <c r="J98" i="2" s="1"/>
  <c r="K98" i="2"/>
  <c r="G98" i="2"/>
  <c r="F98" i="2"/>
  <c r="D98" i="2"/>
  <c r="C98" i="2"/>
  <c r="B98" i="2"/>
  <c r="A98" i="2"/>
  <c r="S97" i="2"/>
  <c r="R97" i="2"/>
  <c r="Q97" i="2"/>
  <c r="P97" i="2"/>
  <c r="N97" i="2"/>
  <c r="M97" i="2"/>
  <c r="L97" i="2" s="1"/>
  <c r="I97" i="2" s="1"/>
  <c r="J97" i="2" s="1"/>
  <c r="K97" i="2"/>
  <c r="G97" i="2"/>
  <c r="F97" i="2"/>
  <c r="D97" i="2"/>
  <c r="C97" i="2"/>
  <c r="B97" i="2"/>
  <c r="A97" i="2"/>
  <c r="O97" i="2" s="1"/>
  <c r="S96" i="2"/>
  <c r="R96" i="2"/>
  <c r="Q96" i="2"/>
  <c r="P96" i="2"/>
  <c r="N96" i="2"/>
  <c r="M96" i="2"/>
  <c r="L96" i="2" s="1"/>
  <c r="E96" i="2" s="1"/>
  <c r="K96" i="2"/>
  <c r="G96" i="2"/>
  <c r="F96" i="2"/>
  <c r="D96" i="2"/>
  <c r="C96" i="2"/>
  <c r="B96" i="2"/>
  <c r="A96" i="2"/>
  <c r="O96" i="2" s="1"/>
  <c r="S95" i="2"/>
  <c r="R95" i="2"/>
  <c r="Q95" i="2"/>
  <c r="P95" i="2"/>
  <c r="N95" i="2"/>
  <c r="M95" i="2"/>
  <c r="L95" i="2"/>
  <c r="E95" i="2" s="1"/>
  <c r="K95" i="2"/>
  <c r="J95" i="2"/>
  <c r="I95" i="2"/>
  <c r="G95" i="2"/>
  <c r="F95" i="2"/>
  <c r="D95" i="2"/>
  <c r="C95" i="2"/>
  <c r="B95" i="2"/>
  <c r="A95" i="2"/>
  <c r="O95" i="2" s="1"/>
  <c r="S94" i="2"/>
  <c r="R94" i="2"/>
  <c r="Q94" i="2"/>
  <c r="P94" i="2"/>
  <c r="N94" i="2"/>
  <c r="M94" i="2"/>
  <c r="L94" i="2"/>
  <c r="E94" i="2" s="1"/>
  <c r="K94" i="2"/>
  <c r="I94" i="2"/>
  <c r="J94" i="2" s="1"/>
  <c r="G94" i="2"/>
  <c r="F94" i="2"/>
  <c r="D94" i="2"/>
  <c r="C94" i="2"/>
  <c r="B94" i="2"/>
  <c r="A94" i="2"/>
  <c r="O94" i="2" s="1"/>
  <c r="S93" i="2"/>
  <c r="R93" i="2"/>
  <c r="Q93" i="2"/>
  <c r="P93" i="2"/>
  <c r="O93" i="2"/>
  <c r="N93" i="2"/>
  <c r="M93" i="2"/>
  <c r="L93" i="2"/>
  <c r="E93" i="2" s="1"/>
  <c r="K93" i="2"/>
  <c r="G93" i="2"/>
  <c r="F93" i="2"/>
  <c r="D93" i="2"/>
  <c r="C93" i="2"/>
  <c r="B93" i="2"/>
  <c r="A93" i="2"/>
  <c r="S92" i="2"/>
  <c r="R92" i="2"/>
  <c r="Q92" i="2"/>
  <c r="P92" i="2"/>
  <c r="O92" i="2"/>
  <c r="N92" i="2"/>
  <c r="M92" i="2"/>
  <c r="L92" i="2" s="1"/>
  <c r="K92" i="2"/>
  <c r="G92" i="2"/>
  <c r="F92" i="2"/>
  <c r="D92" i="2"/>
  <c r="C92" i="2"/>
  <c r="B92" i="2"/>
  <c r="A92" i="2"/>
  <c r="S91" i="2"/>
  <c r="R91" i="2"/>
  <c r="Q91" i="2"/>
  <c r="P91" i="2"/>
  <c r="O91" i="2"/>
  <c r="N91" i="2"/>
  <c r="M91" i="2"/>
  <c r="L91" i="2"/>
  <c r="I91" i="2" s="1"/>
  <c r="J91" i="2" s="1"/>
  <c r="K91" i="2"/>
  <c r="G91" i="2"/>
  <c r="F91" i="2"/>
  <c r="D91" i="2"/>
  <c r="C91" i="2"/>
  <c r="B91" i="2"/>
  <c r="A91" i="2"/>
  <c r="S90" i="2"/>
  <c r="R90" i="2"/>
  <c r="Q90" i="2"/>
  <c r="P90" i="2"/>
  <c r="N90" i="2"/>
  <c r="M90" i="2"/>
  <c r="L90" i="2" s="1"/>
  <c r="K90" i="2"/>
  <c r="I90" i="2"/>
  <c r="J90" i="2" s="1"/>
  <c r="G90" i="2"/>
  <c r="F90" i="2"/>
  <c r="E90" i="2"/>
  <c r="D90" i="2"/>
  <c r="C90" i="2"/>
  <c r="B90" i="2"/>
  <c r="A90" i="2"/>
  <c r="O90" i="2" s="1"/>
  <c r="S89" i="2"/>
  <c r="R89" i="2"/>
  <c r="Q89" i="2"/>
  <c r="P89" i="2"/>
  <c r="N89" i="2"/>
  <c r="M89" i="2"/>
  <c r="L89" i="2"/>
  <c r="I89" i="2" s="1"/>
  <c r="K89" i="2"/>
  <c r="J89" i="2"/>
  <c r="G89" i="2"/>
  <c r="F89" i="2"/>
  <c r="D89" i="2"/>
  <c r="C89" i="2"/>
  <c r="B89" i="2"/>
  <c r="A89" i="2"/>
  <c r="O89" i="2" s="1"/>
  <c r="S88" i="2"/>
  <c r="R88" i="2"/>
  <c r="Q88" i="2"/>
  <c r="P88" i="2"/>
  <c r="N88" i="2"/>
  <c r="M88" i="2"/>
  <c r="L88" i="2" s="1"/>
  <c r="I88" i="2" s="1"/>
  <c r="J88" i="2" s="1"/>
  <c r="K88" i="2"/>
  <c r="G88" i="2"/>
  <c r="F88" i="2"/>
  <c r="D88" i="2"/>
  <c r="C88" i="2"/>
  <c r="B88" i="2"/>
  <c r="A88" i="2"/>
  <c r="O88" i="2" s="1"/>
  <c r="S87" i="2"/>
  <c r="R87" i="2"/>
  <c r="Q87" i="2"/>
  <c r="P87" i="2"/>
  <c r="N87" i="2"/>
  <c r="M87" i="2"/>
  <c r="L87" i="2"/>
  <c r="E87" i="2" s="1"/>
  <c r="K87" i="2"/>
  <c r="G87" i="2"/>
  <c r="F87" i="2"/>
  <c r="D87" i="2"/>
  <c r="C87" i="2"/>
  <c r="B87" i="2"/>
  <c r="A87" i="2"/>
  <c r="O87" i="2" s="1"/>
  <c r="S86" i="2"/>
  <c r="R86" i="2"/>
  <c r="Q86" i="2"/>
  <c r="P86" i="2"/>
  <c r="O86" i="2"/>
  <c r="N86" i="2"/>
  <c r="M86" i="2"/>
  <c r="L86" i="2" s="1"/>
  <c r="K86" i="2"/>
  <c r="G86" i="2"/>
  <c r="F86" i="2"/>
  <c r="D86" i="2"/>
  <c r="C86" i="2"/>
  <c r="B86" i="2"/>
  <c r="A86" i="2"/>
  <c r="S85" i="2"/>
  <c r="R85" i="2"/>
  <c r="Q85" i="2"/>
  <c r="P85" i="2"/>
  <c r="O85" i="2"/>
  <c r="N85" i="2"/>
  <c r="M85" i="2"/>
  <c r="L85" i="2"/>
  <c r="E85" i="2" s="1"/>
  <c r="K85" i="2"/>
  <c r="I85" i="2"/>
  <c r="J85" i="2" s="1"/>
  <c r="G85" i="2"/>
  <c r="F85" i="2"/>
  <c r="D85" i="2"/>
  <c r="C85" i="2"/>
  <c r="B85" i="2"/>
  <c r="A85" i="2"/>
  <c r="S84" i="2"/>
  <c r="R84" i="2"/>
  <c r="Q84" i="2"/>
  <c r="P84" i="2"/>
  <c r="N84" i="2"/>
  <c r="M84" i="2"/>
  <c r="L84" i="2" s="1"/>
  <c r="K84" i="2"/>
  <c r="G84" i="2"/>
  <c r="F84" i="2"/>
  <c r="D84" i="2"/>
  <c r="C84" i="2"/>
  <c r="B84" i="2"/>
  <c r="A84" i="2"/>
  <c r="O84" i="2" s="1"/>
  <c r="S83" i="2"/>
  <c r="R83" i="2"/>
  <c r="Q83" i="2"/>
  <c r="P83" i="2"/>
  <c r="O83" i="2"/>
  <c r="N83" i="2"/>
  <c r="M83" i="2"/>
  <c r="L83" i="2" s="1"/>
  <c r="K83" i="2"/>
  <c r="G83" i="2"/>
  <c r="F83" i="2"/>
  <c r="D83" i="2"/>
  <c r="C83" i="2"/>
  <c r="B83" i="2"/>
  <c r="A83" i="2"/>
  <c r="S82" i="2"/>
  <c r="R82" i="2"/>
  <c r="Q82" i="2"/>
  <c r="P82" i="2"/>
  <c r="O82" i="2"/>
  <c r="N82" i="2"/>
  <c r="M82" i="2"/>
  <c r="L82" i="2" s="1"/>
  <c r="E82" i="2" s="1"/>
  <c r="K82" i="2"/>
  <c r="G82" i="2"/>
  <c r="F82" i="2"/>
  <c r="D82" i="2"/>
  <c r="C82" i="2"/>
  <c r="B82" i="2"/>
  <c r="A82" i="2"/>
  <c r="S81" i="2"/>
  <c r="R81" i="2"/>
  <c r="Q81" i="2"/>
  <c r="P81" i="2"/>
  <c r="N81" i="2"/>
  <c r="M81" i="2"/>
  <c r="L81" i="2" s="1"/>
  <c r="K81" i="2"/>
  <c r="G81" i="2"/>
  <c r="F81" i="2"/>
  <c r="D81" i="2"/>
  <c r="C81" i="2"/>
  <c r="B81" i="2"/>
  <c r="A81" i="2"/>
  <c r="O81" i="2" s="1"/>
  <c r="S80" i="2"/>
  <c r="R80" i="2"/>
  <c r="Q80" i="2"/>
  <c r="P80" i="2"/>
  <c r="N80" i="2"/>
  <c r="M80" i="2"/>
  <c r="L80" i="2" s="1"/>
  <c r="E80" i="2" s="1"/>
  <c r="K80" i="2"/>
  <c r="G80" i="2"/>
  <c r="F80" i="2"/>
  <c r="D80" i="2"/>
  <c r="C80" i="2"/>
  <c r="B80" i="2"/>
  <c r="A80" i="2"/>
  <c r="O80" i="2" s="1"/>
  <c r="S79" i="2"/>
  <c r="R79" i="2"/>
  <c r="Q79" i="2"/>
  <c r="P79" i="2"/>
  <c r="N79" i="2"/>
  <c r="M79" i="2"/>
  <c r="L79" i="2"/>
  <c r="E79" i="2" s="1"/>
  <c r="K79" i="2"/>
  <c r="I79" i="2"/>
  <c r="J79" i="2" s="1"/>
  <c r="G79" i="2"/>
  <c r="F79" i="2"/>
  <c r="D79" i="2"/>
  <c r="C79" i="2"/>
  <c r="B79" i="2"/>
  <c r="A79" i="2"/>
  <c r="O79" i="2" s="1"/>
  <c r="S78" i="2"/>
  <c r="R78" i="2"/>
  <c r="Q78" i="2"/>
  <c r="P78" i="2"/>
  <c r="N78" i="2"/>
  <c r="M78" i="2"/>
  <c r="L78" i="2"/>
  <c r="E78" i="2" s="1"/>
  <c r="K78" i="2"/>
  <c r="I78" i="2"/>
  <c r="J78" i="2" s="1"/>
  <c r="G78" i="2"/>
  <c r="F78" i="2"/>
  <c r="D78" i="2"/>
  <c r="C78" i="2"/>
  <c r="B78" i="2"/>
  <c r="A78" i="2"/>
  <c r="O78" i="2" s="1"/>
  <c r="S77" i="2"/>
  <c r="R77" i="2"/>
  <c r="Q77" i="2"/>
  <c r="P77" i="2"/>
  <c r="O77" i="2"/>
  <c r="N77" i="2"/>
  <c r="M77" i="2"/>
  <c r="L77" i="2"/>
  <c r="E77" i="2" s="1"/>
  <c r="K77" i="2"/>
  <c r="G77" i="2"/>
  <c r="F77" i="2"/>
  <c r="D77" i="2"/>
  <c r="C77" i="2"/>
  <c r="B77" i="2"/>
  <c r="A77" i="2"/>
  <c r="S76" i="2"/>
  <c r="R76" i="2"/>
  <c r="Q76" i="2"/>
  <c r="P76" i="2"/>
  <c r="O76" i="2"/>
  <c r="N76" i="2"/>
  <c r="M76" i="2"/>
  <c r="L76" i="2" s="1"/>
  <c r="K76" i="2"/>
  <c r="G76" i="2"/>
  <c r="F76" i="2"/>
  <c r="D76" i="2"/>
  <c r="C76" i="2"/>
  <c r="B76" i="2"/>
  <c r="A76" i="2"/>
  <c r="S75" i="2"/>
  <c r="R75" i="2"/>
  <c r="Q75" i="2"/>
  <c r="P75" i="2"/>
  <c r="O75" i="2"/>
  <c r="N75" i="2"/>
  <c r="M75" i="2"/>
  <c r="L75" i="2"/>
  <c r="I75" i="2" s="1"/>
  <c r="J75" i="2" s="1"/>
  <c r="K75" i="2"/>
  <c r="G75" i="2"/>
  <c r="F75" i="2"/>
  <c r="D75" i="2"/>
  <c r="C75" i="2"/>
  <c r="B75" i="2"/>
  <c r="A75" i="2"/>
  <c r="S74" i="2"/>
  <c r="R74" i="2"/>
  <c r="Q74" i="2"/>
  <c r="P74" i="2"/>
  <c r="N74" i="2"/>
  <c r="M74" i="2"/>
  <c r="L74" i="2" s="1"/>
  <c r="E74" i="2" s="1"/>
  <c r="K74" i="2"/>
  <c r="I74" i="2"/>
  <c r="J74" i="2" s="1"/>
  <c r="G74" i="2"/>
  <c r="F74" i="2"/>
  <c r="D74" i="2"/>
  <c r="C74" i="2"/>
  <c r="B74" i="2"/>
  <c r="A74" i="2"/>
  <c r="O74" i="2" s="1"/>
  <c r="S73" i="2"/>
  <c r="R73" i="2"/>
  <c r="Q73" i="2"/>
  <c r="P73" i="2"/>
  <c r="O73" i="2"/>
  <c r="N73" i="2"/>
  <c r="M73" i="2"/>
  <c r="L73" i="2"/>
  <c r="I73" i="2" s="1"/>
  <c r="J73" i="2" s="1"/>
  <c r="K73" i="2"/>
  <c r="G73" i="2"/>
  <c r="F73" i="2"/>
  <c r="D73" i="2"/>
  <c r="C73" i="2"/>
  <c r="B73" i="2"/>
  <c r="A73" i="2"/>
  <c r="S72" i="2"/>
  <c r="R72" i="2"/>
  <c r="Q72" i="2"/>
  <c r="P72" i="2"/>
  <c r="O72" i="2"/>
  <c r="N72" i="2"/>
  <c r="M72" i="2"/>
  <c r="L72" i="2" s="1"/>
  <c r="I72" i="2" s="1"/>
  <c r="J72" i="2" s="1"/>
  <c r="K72" i="2"/>
  <c r="G72" i="2"/>
  <c r="F72" i="2"/>
  <c r="D72" i="2"/>
  <c r="C72" i="2"/>
  <c r="B72" i="2"/>
  <c r="A72" i="2"/>
  <c r="S71" i="2"/>
  <c r="R71" i="2"/>
  <c r="Q71" i="2"/>
  <c r="P71" i="2"/>
  <c r="N71" i="2"/>
  <c r="M71" i="2"/>
  <c r="L71" i="2"/>
  <c r="E71" i="2" s="1"/>
  <c r="K71" i="2"/>
  <c r="I71" i="2"/>
  <c r="J71" i="2" s="1"/>
  <c r="G71" i="2"/>
  <c r="F71" i="2"/>
  <c r="D71" i="2"/>
  <c r="C71" i="2"/>
  <c r="B71" i="2"/>
  <c r="A71" i="2"/>
  <c r="O71" i="2" s="1"/>
  <c r="S70" i="2"/>
  <c r="R70" i="2"/>
  <c r="Q70" i="2"/>
  <c r="P70" i="2"/>
  <c r="O70" i="2"/>
  <c r="N70" i="2"/>
  <c r="M70" i="2"/>
  <c r="L70" i="2"/>
  <c r="E70" i="2" s="1"/>
  <c r="K70" i="2"/>
  <c r="G70" i="2"/>
  <c r="F70" i="2"/>
  <c r="D70" i="2"/>
  <c r="C70" i="2"/>
  <c r="B70" i="2"/>
  <c r="A70" i="2"/>
  <c r="S69" i="2"/>
  <c r="R69" i="2"/>
  <c r="Q69" i="2"/>
  <c r="P69" i="2"/>
  <c r="N69" i="2"/>
  <c r="M69" i="2"/>
  <c r="L69" i="2"/>
  <c r="E69" i="2" s="1"/>
  <c r="K69" i="2"/>
  <c r="I69" i="2"/>
  <c r="J69" i="2" s="1"/>
  <c r="G69" i="2"/>
  <c r="F69" i="2"/>
  <c r="D69" i="2"/>
  <c r="C69" i="2"/>
  <c r="B69" i="2"/>
  <c r="A69" i="2"/>
  <c r="O69" i="2" s="1"/>
  <c r="S68" i="2"/>
  <c r="R68" i="2"/>
  <c r="Q68" i="2"/>
  <c r="P68" i="2"/>
  <c r="O68" i="2"/>
  <c r="N68" i="2"/>
  <c r="M68" i="2"/>
  <c r="L68" i="2" s="1"/>
  <c r="K68" i="2"/>
  <c r="G68" i="2"/>
  <c r="F68" i="2"/>
  <c r="D68" i="2"/>
  <c r="C68" i="2"/>
  <c r="B68" i="2"/>
  <c r="A68" i="2"/>
  <c r="S67" i="2"/>
  <c r="R67" i="2"/>
  <c r="Q67" i="2"/>
  <c r="P67" i="2"/>
  <c r="O67" i="2"/>
  <c r="N67" i="2"/>
  <c r="M67" i="2"/>
  <c r="L67" i="2" s="1"/>
  <c r="K67" i="2"/>
  <c r="G67" i="2"/>
  <c r="F67" i="2"/>
  <c r="D67" i="2"/>
  <c r="C67" i="2"/>
  <c r="B67" i="2"/>
  <c r="A67" i="2"/>
  <c r="S66" i="2"/>
  <c r="R66" i="2"/>
  <c r="Q66" i="2"/>
  <c r="P66" i="2"/>
  <c r="N66" i="2"/>
  <c r="M66" i="2"/>
  <c r="L66" i="2" s="1"/>
  <c r="K66" i="2"/>
  <c r="G66" i="2"/>
  <c r="F66" i="2"/>
  <c r="D66" i="2"/>
  <c r="C66" i="2"/>
  <c r="B66" i="2"/>
  <c r="A66" i="2"/>
  <c r="O66" i="2" s="1"/>
  <c r="S65" i="2"/>
  <c r="R65" i="2"/>
  <c r="Q65" i="2"/>
  <c r="P65" i="2"/>
  <c r="O65" i="2"/>
  <c r="N65" i="2"/>
  <c r="M65" i="2"/>
  <c r="L65" i="2" s="1"/>
  <c r="K65" i="2"/>
  <c r="G65" i="2"/>
  <c r="F65" i="2"/>
  <c r="D65" i="2"/>
  <c r="C65" i="2"/>
  <c r="B65" i="2"/>
  <c r="A65" i="2"/>
  <c r="S64" i="2"/>
  <c r="R64" i="2"/>
  <c r="Q64" i="2"/>
  <c r="P64" i="2"/>
  <c r="O64" i="2"/>
  <c r="N64" i="2"/>
  <c r="M64" i="2"/>
  <c r="L64" i="2" s="1"/>
  <c r="E64" i="2" s="1"/>
  <c r="K64" i="2"/>
  <c r="G64" i="2"/>
  <c r="F64" i="2"/>
  <c r="D64" i="2"/>
  <c r="C64" i="2"/>
  <c r="B64" i="2"/>
  <c r="A64" i="2"/>
  <c r="S63" i="2"/>
  <c r="R63" i="2"/>
  <c r="Q63" i="2"/>
  <c r="P63" i="2"/>
  <c r="N63" i="2"/>
  <c r="M63" i="2"/>
  <c r="L63" i="2" s="1"/>
  <c r="K63" i="2"/>
  <c r="G63" i="2"/>
  <c r="F63" i="2"/>
  <c r="D63" i="2"/>
  <c r="C63" i="2"/>
  <c r="B63" i="2"/>
  <c r="A63" i="2"/>
  <c r="O63" i="2" s="1"/>
  <c r="S62" i="2"/>
  <c r="R62" i="2"/>
  <c r="Q62" i="2"/>
  <c r="P62" i="2"/>
  <c r="N62" i="2"/>
  <c r="M62" i="2"/>
  <c r="L62" i="2" s="1"/>
  <c r="K62" i="2"/>
  <c r="G62" i="2"/>
  <c r="F62" i="2"/>
  <c r="D62" i="2"/>
  <c r="C62" i="2"/>
  <c r="B62" i="2"/>
  <c r="A62" i="2"/>
  <c r="O62" i="2" s="1"/>
  <c r="S61" i="2"/>
  <c r="R61" i="2"/>
  <c r="Q61" i="2"/>
  <c r="P61" i="2"/>
  <c r="O61" i="2"/>
  <c r="N61" i="2"/>
  <c r="M61" i="2"/>
  <c r="L61" i="2" s="1"/>
  <c r="K61" i="2"/>
  <c r="G61" i="2"/>
  <c r="F61" i="2"/>
  <c r="D61" i="2"/>
  <c r="C61" i="2"/>
  <c r="B61" i="2"/>
  <c r="A61" i="2"/>
  <c r="S60" i="2"/>
  <c r="R60" i="2"/>
  <c r="Q60" i="2"/>
  <c r="P60" i="2"/>
  <c r="O60" i="2"/>
  <c r="N60" i="2"/>
  <c r="M60" i="2"/>
  <c r="L60" i="2" s="1"/>
  <c r="K60" i="2"/>
  <c r="G60" i="2"/>
  <c r="F60" i="2"/>
  <c r="D60" i="2"/>
  <c r="C60" i="2"/>
  <c r="B60" i="2"/>
  <c r="A60" i="2"/>
  <c r="S59" i="2"/>
  <c r="R59" i="2"/>
  <c r="Q59" i="2"/>
  <c r="P59" i="2"/>
  <c r="N59" i="2"/>
  <c r="M59" i="2"/>
  <c r="L59" i="2" s="1"/>
  <c r="K59" i="2"/>
  <c r="G59" i="2"/>
  <c r="F59" i="2"/>
  <c r="D59" i="2"/>
  <c r="C59" i="2"/>
  <c r="B59" i="2"/>
  <c r="A59" i="2"/>
  <c r="O59" i="2" s="1"/>
  <c r="S58" i="2"/>
  <c r="R58" i="2"/>
  <c r="Q58" i="2"/>
  <c r="P58" i="2"/>
  <c r="N58" i="2"/>
  <c r="M58" i="2"/>
  <c r="L58" i="2"/>
  <c r="E58" i="2" s="1"/>
  <c r="K58" i="2"/>
  <c r="G58" i="2"/>
  <c r="F58" i="2"/>
  <c r="D58" i="2"/>
  <c r="C58" i="2"/>
  <c r="B58" i="2"/>
  <c r="A58" i="2"/>
  <c r="O58" i="2" s="1"/>
  <c r="S57" i="2"/>
  <c r="R57" i="2"/>
  <c r="Q57" i="2"/>
  <c r="P57" i="2"/>
  <c r="O57" i="2"/>
  <c r="N57" i="2"/>
  <c r="M57" i="2"/>
  <c r="L57" i="2"/>
  <c r="E57" i="2" s="1"/>
  <c r="K57" i="2"/>
  <c r="I57" i="2"/>
  <c r="J57" i="2" s="1"/>
  <c r="G57" i="2"/>
  <c r="F57" i="2"/>
  <c r="D57" i="2"/>
  <c r="C57" i="2"/>
  <c r="B57" i="2"/>
  <c r="A57" i="2"/>
  <c r="S56" i="2"/>
  <c r="R56" i="2"/>
  <c r="Q56" i="2"/>
  <c r="P56" i="2"/>
  <c r="O56" i="2"/>
  <c r="N56" i="2"/>
  <c r="M56" i="2"/>
  <c r="L56" i="2"/>
  <c r="I56" i="2" s="1"/>
  <c r="J56" i="2" s="1"/>
  <c r="K56" i="2"/>
  <c r="G56" i="2"/>
  <c r="F56" i="2"/>
  <c r="D56" i="2"/>
  <c r="C56" i="2"/>
  <c r="B56" i="2"/>
  <c r="A56" i="2"/>
  <c r="S55" i="2"/>
  <c r="R55" i="2"/>
  <c r="Q55" i="2"/>
  <c r="P55" i="2"/>
  <c r="O55" i="2"/>
  <c r="N55" i="2"/>
  <c r="M55" i="2"/>
  <c r="L55" i="2" s="1"/>
  <c r="K55" i="2"/>
  <c r="G55" i="2"/>
  <c r="F55" i="2"/>
  <c r="D55" i="2"/>
  <c r="C55" i="2"/>
  <c r="B55" i="2"/>
  <c r="A55" i="2"/>
  <c r="S54" i="2"/>
  <c r="R54" i="2"/>
  <c r="Q54" i="2"/>
  <c r="P54" i="2"/>
  <c r="N54" i="2"/>
  <c r="M54" i="2"/>
  <c r="L54" i="2" s="1"/>
  <c r="K54" i="2"/>
  <c r="G54" i="2"/>
  <c r="F54" i="2"/>
  <c r="D54" i="2"/>
  <c r="C54" i="2"/>
  <c r="B54" i="2"/>
  <c r="A54" i="2"/>
  <c r="O54" i="2" s="1"/>
  <c r="S53" i="2"/>
  <c r="R53" i="2"/>
  <c r="Q53" i="2"/>
  <c r="P53" i="2"/>
  <c r="O53" i="2"/>
  <c r="N53" i="2"/>
  <c r="M53" i="2"/>
  <c r="L53" i="2" s="1"/>
  <c r="K53" i="2"/>
  <c r="G53" i="2"/>
  <c r="F53" i="2"/>
  <c r="D53" i="2"/>
  <c r="C53" i="2"/>
  <c r="B53" i="2"/>
  <c r="A53" i="2"/>
  <c r="S52" i="2"/>
  <c r="R52" i="2"/>
  <c r="Q52" i="2"/>
  <c r="P52" i="2"/>
  <c r="O52" i="2"/>
  <c r="N52" i="2"/>
  <c r="M52" i="2"/>
  <c r="L52" i="2" s="1"/>
  <c r="K52" i="2"/>
  <c r="G52" i="2"/>
  <c r="F52" i="2"/>
  <c r="D52" i="2"/>
  <c r="C52" i="2"/>
  <c r="B52" i="2"/>
  <c r="A52" i="2"/>
  <c r="S51" i="2"/>
  <c r="R51" i="2"/>
  <c r="Q51" i="2"/>
  <c r="P51" i="2"/>
  <c r="N51" i="2"/>
  <c r="M51" i="2"/>
  <c r="L51" i="2" s="1"/>
  <c r="K51" i="2"/>
  <c r="G51" i="2"/>
  <c r="F51" i="2"/>
  <c r="D51" i="2"/>
  <c r="C51" i="2"/>
  <c r="B51" i="2"/>
  <c r="A51" i="2"/>
  <c r="O51" i="2" s="1"/>
  <c r="S50" i="2"/>
  <c r="R50" i="2"/>
  <c r="Q50" i="2"/>
  <c r="P50" i="2"/>
  <c r="N50" i="2"/>
  <c r="M50" i="2"/>
  <c r="L50" i="2"/>
  <c r="E50" i="2" s="1"/>
  <c r="K50" i="2"/>
  <c r="G50" i="2"/>
  <c r="F50" i="2"/>
  <c r="D50" i="2"/>
  <c r="C50" i="2"/>
  <c r="B50" i="2"/>
  <c r="A50" i="2"/>
  <c r="O50" i="2" s="1"/>
  <c r="S49" i="2"/>
  <c r="R49" i="2"/>
  <c r="Q49" i="2"/>
  <c r="P49" i="2"/>
  <c r="O49" i="2"/>
  <c r="N49" i="2"/>
  <c r="M49" i="2"/>
  <c r="L49" i="2"/>
  <c r="E49" i="2" s="1"/>
  <c r="K49" i="2"/>
  <c r="I49" i="2"/>
  <c r="J49" i="2" s="1"/>
  <c r="G49" i="2"/>
  <c r="F49" i="2"/>
  <c r="D49" i="2"/>
  <c r="C49" i="2"/>
  <c r="B49" i="2"/>
  <c r="A49" i="2"/>
  <c r="S48" i="2"/>
  <c r="R48" i="2"/>
  <c r="Q48" i="2"/>
  <c r="P48" i="2"/>
  <c r="O48" i="2"/>
  <c r="N48" i="2"/>
  <c r="M48" i="2"/>
  <c r="L48" i="2"/>
  <c r="I48" i="2" s="1"/>
  <c r="J48" i="2" s="1"/>
  <c r="K48" i="2"/>
  <c r="G48" i="2"/>
  <c r="F48" i="2"/>
  <c r="D48" i="2"/>
  <c r="C48" i="2"/>
  <c r="B48" i="2"/>
  <c r="A48" i="2"/>
  <c r="S47" i="2"/>
  <c r="R47" i="2"/>
  <c r="Q47" i="2"/>
  <c r="P47" i="2"/>
  <c r="O47" i="2"/>
  <c r="N47" i="2"/>
  <c r="M47" i="2"/>
  <c r="L47" i="2" s="1"/>
  <c r="K47" i="2"/>
  <c r="G47" i="2"/>
  <c r="F47" i="2"/>
  <c r="D47" i="2"/>
  <c r="C47" i="2"/>
  <c r="B47" i="2"/>
  <c r="A47" i="2"/>
  <c r="S46" i="2"/>
  <c r="R46" i="2"/>
  <c r="Q46" i="2"/>
  <c r="P46" i="2"/>
  <c r="N46" i="2"/>
  <c r="M46" i="2"/>
  <c r="L46" i="2" s="1"/>
  <c r="K46" i="2"/>
  <c r="G46" i="2"/>
  <c r="F46" i="2"/>
  <c r="D46" i="2"/>
  <c r="C46" i="2"/>
  <c r="B46" i="2"/>
  <c r="A46" i="2"/>
  <c r="O46" i="2" s="1"/>
  <c r="S45" i="2"/>
  <c r="R45" i="2"/>
  <c r="Q45" i="2"/>
  <c r="P45" i="2"/>
  <c r="O45" i="2"/>
  <c r="N45" i="2"/>
  <c r="M45" i="2"/>
  <c r="L45" i="2" s="1"/>
  <c r="K45" i="2"/>
  <c r="G45" i="2"/>
  <c r="F45" i="2"/>
  <c r="D45" i="2"/>
  <c r="C45" i="2"/>
  <c r="B45" i="2"/>
  <c r="A45" i="2"/>
  <c r="S44" i="2"/>
  <c r="R44" i="2"/>
  <c r="Q44" i="2"/>
  <c r="P44" i="2"/>
  <c r="O44" i="2"/>
  <c r="N44" i="2"/>
  <c r="M44" i="2"/>
  <c r="L44" i="2" s="1"/>
  <c r="K44" i="2"/>
  <c r="G44" i="2"/>
  <c r="F44" i="2"/>
  <c r="D44" i="2"/>
  <c r="C44" i="2"/>
  <c r="B44" i="2"/>
  <c r="A44" i="2"/>
  <c r="S43" i="2"/>
  <c r="R43" i="2"/>
  <c r="Q43" i="2"/>
  <c r="P43" i="2"/>
  <c r="N43" i="2"/>
  <c r="M43" i="2"/>
  <c r="L43" i="2" s="1"/>
  <c r="K43" i="2"/>
  <c r="G43" i="2"/>
  <c r="F43" i="2"/>
  <c r="D43" i="2"/>
  <c r="C43" i="2"/>
  <c r="B43" i="2"/>
  <c r="A43" i="2"/>
  <c r="O43" i="2" s="1"/>
  <c r="S42" i="2"/>
  <c r="R42" i="2"/>
  <c r="Q42" i="2"/>
  <c r="P42" i="2"/>
  <c r="N42" i="2"/>
  <c r="M42" i="2"/>
  <c r="L42" i="2"/>
  <c r="E42" i="2" s="1"/>
  <c r="K42" i="2"/>
  <c r="G42" i="2"/>
  <c r="F42" i="2"/>
  <c r="D42" i="2"/>
  <c r="C42" i="2"/>
  <c r="B42" i="2"/>
  <c r="A42" i="2"/>
  <c r="O42" i="2" s="1"/>
  <c r="S41" i="2"/>
  <c r="R41" i="2"/>
  <c r="Q41" i="2"/>
  <c r="P41" i="2"/>
  <c r="O41" i="2"/>
  <c r="N41" i="2"/>
  <c r="M41" i="2"/>
  <c r="L41" i="2"/>
  <c r="E41" i="2" s="1"/>
  <c r="K41" i="2"/>
  <c r="I41" i="2"/>
  <c r="J41" i="2" s="1"/>
  <c r="G41" i="2"/>
  <c r="F41" i="2"/>
  <c r="D41" i="2"/>
  <c r="C41" i="2"/>
  <c r="B41" i="2"/>
  <c r="A41" i="2"/>
  <c r="S40" i="2"/>
  <c r="R40" i="2"/>
  <c r="Q40" i="2"/>
  <c r="P40" i="2"/>
  <c r="O40" i="2"/>
  <c r="N40" i="2"/>
  <c r="M40" i="2"/>
  <c r="L40" i="2"/>
  <c r="I40" i="2" s="1"/>
  <c r="J40" i="2" s="1"/>
  <c r="K40" i="2"/>
  <c r="G40" i="2"/>
  <c r="F40" i="2"/>
  <c r="D40" i="2"/>
  <c r="C40" i="2"/>
  <c r="B40" i="2"/>
  <c r="A40" i="2"/>
  <c r="S39" i="2"/>
  <c r="R39" i="2"/>
  <c r="Q39" i="2"/>
  <c r="P39" i="2"/>
  <c r="O39" i="2"/>
  <c r="N39" i="2"/>
  <c r="M39" i="2"/>
  <c r="L39" i="2" s="1"/>
  <c r="K39" i="2"/>
  <c r="G39" i="2"/>
  <c r="F39" i="2"/>
  <c r="D39" i="2"/>
  <c r="C39" i="2"/>
  <c r="B39" i="2"/>
  <c r="A39" i="2"/>
  <c r="S38" i="2"/>
  <c r="R38" i="2"/>
  <c r="Q38" i="2"/>
  <c r="P38" i="2"/>
  <c r="N38" i="2"/>
  <c r="M38" i="2"/>
  <c r="L38" i="2" s="1"/>
  <c r="K38" i="2"/>
  <c r="G38" i="2"/>
  <c r="F38" i="2"/>
  <c r="D38" i="2"/>
  <c r="C38" i="2"/>
  <c r="B38" i="2"/>
  <c r="A38" i="2"/>
  <c r="O38" i="2" s="1"/>
  <c r="S37" i="2"/>
  <c r="R37" i="2"/>
  <c r="Q37" i="2"/>
  <c r="P37" i="2"/>
  <c r="O37" i="2"/>
  <c r="N37" i="2"/>
  <c r="M37" i="2"/>
  <c r="L37" i="2" s="1"/>
  <c r="K37" i="2"/>
  <c r="G37" i="2"/>
  <c r="F37" i="2"/>
  <c r="D37" i="2"/>
  <c r="C37" i="2"/>
  <c r="B37" i="2"/>
  <c r="A37" i="2"/>
  <c r="S36" i="2"/>
  <c r="R36" i="2"/>
  <c r="Q36" i="2"/>
  <c r="P36" i="2"/>
  <c r="O36" i="2"/>
  <c r="N36" i="2"/>
  <c r="M36" i="2"/>
  <c r="L36" i="2" s="1"/>
  <c r="K36" i="2"/>
  <c r="G36" i="2"/>
  <c r="F36" i="2"/>
  <c r="D36" i="2"/>
  <c r="C36" i="2"/>
  <c r="B36" i="2"/>
  <c r="A36" i="2"/>
  <c r="S35" i="2"/>
  <c r="R35" i="2"/>
  <c r="Q35" i="2"/>
  <c r="P35" i="2"/>
  <c r="N35" i="2"/>
  <c r="M35" i="2"/>
  <c r="L35" i="2" s="1"/>
  <c r="K35" i="2"/>
  <c r="G35" i="2"/>
  <c r="F35" i="2"/>
  <c r="D35" i="2"/>
  <c r="C35" i="2"/>
  <c r="B35" i="2"/>
  <c r="A35" i="2"/>
  <c r="O35" i="2" s="1"/>
  <c r="S34" i="2"/>
  <c r="R34" i="2"/>
  <c r="Q34" i="2"/>
  <c r="P34" i="2"/>
  <c r="N34" i="2"/>
  <c r="M34" i="2"/>
  <c r="L34" i="2"/>
  <c r="E34" i="2" s="1"/>
  <c r="K34" i="2"/>
  <c r="G34" i="2"/>
  <c r="F34" i="2"/>
  <c r="D34" i="2"/>
  <c r="C34" i="2"/>
  <c r="B34" i="2"/>
  <c r="A34" i="2"/>
  <c r="O34" i="2" s="1"/>
  <c r="S33" i="2"/>
  <c r="R33" i="2"/>
  <c r="Q33" i="2"/>
  <c r="P33" i="2"/>
  <c r="O33" i="2"/>
  <c r="N33" i="2"/>
  <c r="M33" i="2"/>
  <c r="L33" i="2"/>
  <c r="E33" i="2" s="1"/>
  <c r="K33" i="2"/>
  <c r="I33" i="2"/>
  <c r="J33" i="2" s="1"/>
  <c r="G33" i="2"/>
  <c r="F33" i="2"/>
  <c r="D33" i="2"/>
  <c r="C33" i="2"/>
  <c r="B33" i="2"/>
  <c r="A33" i="2"/>
  <c r="S32" i="2"/>
  <c r="R32" i="2"/>
  <c r="Q32" i="2"/>
  <c r="P32" i="2"/>
  <c r="O32" i="2"/>
  <c r="N32" i="2"/>
  <c r="M32" i="2"/>
  <c r="L32" i="2"/>
  <c r="I32" i="2" s="1"/>
  <c r="J32" i="2" s="1"/>
  <c r="K32" i="2"/>
  <c r="G32" i="2"/>
  <c r="F32" i="2"/>
  <c r="D32" i="2"/>
  <c r="C32" i="2"/>
  <c r="B32" i="2"/>
  <c r="A32" i="2"/>
  <c r="S31" i="2"/>
  <c r="R31" i="2"/>
  <c r="Q31" i="2"/>
  <c r="P31" i="2"/>
  <c r="O31" i="2"/>
  <c r="N31" i="2"/>
  <c r="M31" i="2"/>
  <c r="L31" i="2" s="1"/>
  <c r="K31" i="2"/>
  <c r="G31" i="2"/>
  <c r="F31" i="2"/>
  <c r="D31" i="2"/>
  <c r="C31" i="2"/>
  <c r="B31" i="2"/>
  <c r="A31" i="2"/>
  <c r="S30" i="2"/>
  <c r="R30" i="2"/>
  <c r="Q30" i="2"/>
  <c r="P30" i="2"/>
  <c r="N30" i="2"/>
  <c r="M30" i="2"/>
  <c r="L30" i="2" s="1"/>
  <c r="K30" i="2"/>
  <c r="G30" i="2"/>
  <c r="F30" i="2"/>
  <c r="D30" i="2"/>
  <c r="C30" i="2"/>
  <c r="B30" i="2"/>
  <c r="A30" i="2"/>
  <c r="O30" i="2" s="1"/>
  <c r="S29" i="2"/>
  <c r="R29" i="2"/>
  <c r="Q29" i="2"/>
  <c r="P29" i="2"/>
  <c r="O29" i="2"/>
  <c r="N29" i="2"/>
  <c r="M29" i="2"/>
  <c r="L29" i="2" s="1"/>
  <c r="K29" i="2"/>
  <c r="G29" i="2"/>
  <c r="F29" i="2"/>
  <c r="D29" i="2"/>
  <c r="C29" i="2"/>
  <c r="B29" i="2"/>
  <c r="A29" i="2"/>
  <c r="S28" i="2"/>
  <c r="R28" i="2"/>
  <c r="Q28" i="2"/>
  <c r="P28" i="2"/>
  <c r="O28" i="2"/>
  <c r="N28" i="2"/>
  <c r="M28" i="2"/>
  <c r="L28" i="2" s="1"/>
  <c r="K28" i="2"/>
  <c r="G28" i="2"/>
  <c r="F28" i="2"/>
  <c r="D28" i="2"/>
  <c r="C28" i="2"/>
  <c r="B28" i="2"/>
  <c r="A28" i="2"/>
  <c r="S27" i="2"/>
  <c r="R27" i="2"/>
  <c r="Q27" i="2"/>
  <c r="P27" i="2"/>
  <c r="N27" i="2"/>
  <c r="M27" i="2"/>
  <c r="L27" i="2" s="1"/>
  <c r="E27" i="2" s="1"/>
  <c r="K27" i="2"/>
  <c r="G27" i="2"/>
  <c r="F27" i="2"/>
  <c r="D27" i="2"/>
  <c r="C27" i="2"/>
  <c r="B27" i="2"/>
  <c r="A27" i="2"/>
  <c r="O27" i="2" s="1"/>
  <c r="S26" i="2"/>
  <c r="R26" i="2"/>
  <c r="Q26" i="2"/>
  <c r="P26" i="2"/>
  <c r="N26" i="2"/>
  <c r="M26" i="2"/>
  <c r="L26" i="2"/>
  <c r="K26" i="2"/>
  <c r="G26" i="2"/>
  <c r="F26" i="2"/>
  <c r="D26" i="2"/>
  <c r="C26" i="2"/>
  <c r="B26" i="2"/>
  <c r="A26" i="2"/>
  <c r="O26" i="2" s="1"/>
  <c r="S25" i="2"/>
  <c r="R25" i="2"/>
  <c r="Q25" i="2"/>
  <c r="P25" i="2"/>
  <c r="O25" i="2"/>
  <c r="N25" i="2"/>
  <c r="M25" i="2"/>
  <c r="L25" i="2"/>
  <c r="E25" i="2" s="1"/>
  <c r="K25" i="2"/>
  <c r="I25" i="2"/>
  <c r="J25" i="2" s="1"/>
  <c r="G25" i="2"/>
  <c r="F25" i="2"/>
  <c r="D25" i="2"/>
  <c r="C25" i="2"/>
  <c r="B25" i="2"/>
  <c r="A25" i="2"/>
  <c r="S24" i="2"/>
  <c r="R24" i="2"/>
  <c r="Q24" i="2"/>
  <c r="P24" i="2"/>
  <c r="O24" i="2"/>
  <c r="N24" i="2"/>
  <c r="M24" i="2"/>
  <c r="L24" i="2"/>
  <c r="I24" i="2" s="1"/>
  <c r="K24" i="2"/>
  <c r="J24" i="2"/>
  <c r="G24" i="2"/>
  <c r="F24" i="2"/>
  <c r="D24" i="2"/>
  <c r="C24" i="2"/>
  <c r="B24" i="2"/>
  <c r="A24" i="2"/>
  <c r="S23" i="2"/>
  <c r="R23" i="2"/>
  <c r="Q23" i="2"/>
  <c r="P23" i="2"/>
  <c r="O23" i="2"/>
  <c r="N23" i="2"/>
  <c r="M23" i="2"/>
  <c r="L23" i="2" s="1"/>
  <c r="I23" i="2" s="1"/>
  <c r="J23" i="2" s="1"/>
  <c r="K23" i="2"/>
  <c r="G23" i="2"/>
  <c r="F23" i="2"/>
  <c r="E23" i="2"/>
  <c r="D23" i="2"/>
  <c r="C23" i="2"/>
  <c r="B23" i="2"/>
  <c r="A23" i="2"/>
  <c r="S22" i="2"/>
  <c r="R22" i="2"/>
  <c r="Q22" i="2"/>
  <c r="P22" i="2"/>
  <c r="N22" i="2"/>
  <c r="M22" i="2"/>
  <c r="L22" i="2"/>
  <c r="E22" i="2" s="1"/>
  <c r="K22" i="2"/>
  <c r="I22" i="2"/>
  <c r="J22" i="2" s="1"/>
  <c r="G22" i="2"/>
  <c r="F22" i="2"/>
  <c r="D22" i="2"/>
  <c r="C22" i="2"/>
  <c r="B22" i="2"/>
  <c r="A22" i="2"/>
  <c r="O22" i="2" s="1"/>
  <c r="S21" i="2"/>
  <c r="R21" i="2"/>
  <c r="Q21" i="2"/>
  <c r="P21" i="2"/>
  <c r="O21" i="2"/>
  <c r="N21" i="2"/>
  <c r="M21" i="2"/>
  <c r="L21" i="2"/>
  <c r="I21" i="2" s="1"/>
  <c r="J21" i="2" s="1"/>
  <c r="K21" i="2"/>
  <c r="G21" i="2"/>
  <c r="F21" i="2"/>
  <c r="D21" i="2"/>
  <c r="C21" i="2"/>
  <c r="B21" i="2"/>
  <c r="A21" i="2"/>
  <c r="S20" i="2"/>
  <c r="R20" i="2"/>
  <c r="Q20" i="2"/>
  <c r="P20" i="2"/>
  <c r="O20" i="2"/>
  <c r="N20" i="2"/>
  <c r="M20" i="2"/>
  <c r="L20" i="2" s="1"/>
  <c r="K20" i="2"/>
  <c r="G20" i="2"/>
  <c r="F20" i="2"/>
  <c r="D20" i="2"/>
  <c r="C20" i="2"/>
  <c r="B20" i="2"/>
  <c r="A20" i="2"/>
  <c r="S19" i="2"/>
  <c r="R19" i="2"/>
  <c r="Q19" i="2"/>
  <c r="P19" i="2"/>
  <c r="N19" i="2"/>
  <c r="M19" i="2"/>
  <c r="L19" i="2" s="1"/>
  <c r="E19" i="2" s="1"/>
  <c r="K19" i="2"/>
  <c r="G19" i="2"/>
  <c r="F19" i="2"/>
  <c r="D19" i="2"/>
  <c r="C19" i="2"/>
  <c r="B19" i="2"/>
  <c r="A19" i="2"/>
  <c r="O19" i="2" s="1"/>
  <c r="S18" i="2"/>
  <c r="R18" i="2"/>
  <c r="Q18" i="2"/>
  <c r="P18" i="2"/>
  <c r="N18" i="2"/>
  <c r="M18" i="2"/>
  <c r="L18" i="2"/>
  <c r="K18" i="2"/>
  <c r="G18" i="2"/>
  <c r="F18" i="2"/>
  <c r="D18" i="2"/>
  <c r="C18" i="2"/>
  <c r="B18" i="2"/>
  <c r="A18" i="2"/>
  <c r="O18" i="2" s="1"/>
  <c r="S17" i="2"/>
  <c r="R17" i="2"/>
  <c r="Q17" i="2"/>
  <c r="P17" i="2"/>
  <c r="O17" i="2"/>
  <c r="N17" i="2"/>
  <c r="M17" i="2"/>
  <c r="L17" i="2"/>
  <c r="E17" i="2" s="1"/>
  <c r="K17" i="2"/>
  <c r="I17" i="2"/>
  <c r="J17" i="2" s="1"/>
  <c r="G17" i="2"/>
  <c r="H17" i="2" s="1"/>
  <c r="F17" i="2"/>
  <c r="D17" i="2"/>
  <c r="C17" i="2"/>
  <c r="B17" i="2"/>
  <c r="A17" i="2"/>
  <c r="S16" i="2"/>
  <c r="R16" i="2"/>
  <c r="Q16" i="2"/>
  <c r="P16" i="2"/>
  <c r="O16" i="2"/>
  <c r="N16" i="2"/>
  <c r="M16" i="2"/>
  <c r="L16" i="2"/>
  <c r="I16" i="2" s="1"/>
  <c r="K16" i="2"/>
  <c r="J16" i="2"/>
  <c r="G16" i="2"/>
  <c r="H16" i="2" s="1"/>
  <c r="F16" i="2"/>
  <c r="D16" i="2"/>
  <c r="C16" i="2"/>
  <c r="B16" i="2"/>
  <c r="A16" i="2"/>
  <c r="S15" i="2"/>
  <c r="R15" i="2"/>
  <c r="Q15" i="2"/>
  <c r="P15" i="2"/>
  <c r="N15" i="2"/>
  <c r="M15" i="2"/>
  <c r="L15" i="2" s="1"/>
  <c r="I15" i="2" s="1"/>
  <c r="J15" i="2" s="1"/>
  <c r="K15" i="2"/>
  <c r="G15" i="2"/>
  <c r="F15" i="2"/>
  <c r="E15" i="2"/>
  <c r="D15" i="2"/>
  <c r="C15" i="2"/>
  <c r="B15" i="2"/>
  <c r="A15" i="2"/>
  <c r="O15" i="2" s="1"/>
  <c r="S14" i="2"/>
  <c r="R14" i="2"/>
  <c r="Q14" i="2"/>
  <c r="P14" i="2"/>
  <c r="N14" i="2"/>
  <c r="M14" i="2"/>
  <c r="L14" i="2"/>
  <c r="E14" i="2" s="1"/>
  <c r="K14" i="2"/>
  <c r="I14" i="2"/>
  <c r="J14" i="2" s="1"/>
  <c r="G14" i="2"/>
  <c r="F14" i="2"/>
  <c r="D14" i="2"/>
  <c r="C14" i="2"/>
  <c r="B14" i="2"/>
  <c r="A14" i="2"/>
  <c r="O14" i="2" s="1"/>
  <c r="S13" i="2"/>
  <c r="R13" i="2"/>
  <c r="Q13" i="2"/>
  <c r="P13" i="2"/>
  <c r="O13" i="2"/>
  <c r="N13" i="2"/>
  <c r="M13" i="2"/>
  <c r="L13" i="2"/>
  <c r="K13" i="2"/>
  <c r="G13" i="2"/>
  <c r="F13" i="2"/>
  <c r="D13" i="2"/>
  <c r="C13" i="2"/>
  <c r="B13" i="2"/>
  <c r="A13" i="2"/>
  <c r="S12" i="2"/>
  <c r="R12" i="2"/>
  <c r="Q12" i="2"/>
  <c r="P12" i="2"/>
  <c r="O12" i="2"/>
  <c r="N12" i="2"/>
  <c r="M12" i="2"/>
  <c r="L12" i="2" s="1"/>
  <c r="K12" i="2"/>
  <c r="H12" i="2"/>
  <c r="G12" i="2"/>
  <c r="F12" i="2"/>
  <c r="D12" i="2"/>
  <c r="C12" i="2"/>
  <c r="B12" i="2"/>
  <c r="A12" i="2"/>
  <c r="S11" i="2"/>
  <c r="R11" i="2"/>
  <c r="Q11" i="2"/>
  <c r="P11" i="2"/>
  <c r="N11" i="2"/>
  <c r="M11" i="2"/>
  <c r="L11" i="2" s="1"/>
  <c r="I11" i="2" s="1"/>
  <c r="J11" i="2" s="1"/>
  <c r="K11" i="2"/>
  <c r="G11" i="2"/>
  <c r="F11" i="2"/>
  <c r="D11" i="2"/>
  <c r="C11" i="2"/>
  <c r="B11" i="2"/>
  <c r="A11" i="2"/>
  <c r="O11" i="2" s="1"/>
  <c r="S10" i="2"/>
  <c r="R10" i="2"/>
  <c r="Q10" i="2"/>
  <c r="P10" i="2"/>
  <c r="N10" i="2"/>
  <c r="M10" i="2"/>
  <c r="L10" i="2" s="1"/>
  <c r="K10" i="2"/>
  <c r="H10" i="2"/>
  <c r="G10" i="2"/>
  <c r="F10" i="2"/>
  <c r="D10" i="2"/>
  <c r="C10" i="2"/>
  <c r="B10" i="2"/>
  <c r="A10" i="2"/>
  <c r="O10" i="2" s="1"/>
  <c r="B7" i="2"/>
  <c r="B6" i="2"/>
  <c r="B5" i="2"/>
  <c r="A2" i="2"/>
  <c r="D1" i="2"/>
  <c r="J11" i="8"/>
  <c r="B6" i="8"/>
  <c r="B7" i="8" s="1"/>
  <c r="B5" i="8"/>
  <c r="A2" i="8"/>
  <c r="C1" i="8"/>
  <c r="I10" i="2" l="1"/>
  <c r="J10" i="2" s="1"/>
  <c r="E10" i="2"/>
  <c r="I13" i="2"/>
  <c r="J13" i="2" s="1"/>
  <c r="E13" i="2"/>
  <c r="H31" i="2"/>
  <c r="E12" i="2"/>
  <c r="I12" i="2"/>
  <c r="J12" i="2" s="1"/>
  <c r="I19" i="2"/>
  <c r="J19" i="2" s="1"/>
  <c r="I27" i="2"/>
  <c r="J27" i="2" s="1"/>
  <c r="E31" i="2"/>
  <c r="I31" i="2"/>
  <c r="J31" i="2" s="1"/>
  <c r="E36" i="2"/>
  <c r="I36" i="2"/>
  <c r="J36" i="2" s="1"/>
  <c r="H47" i="2"/>
  <c r="H52" i="2"/>
  <c r="I53" i="2"/>
  <c r="J53" i="2" s="1"/>
  <c r="E53" i="2"/>
  <c r="H67" i="2"/>
  <c r="I68" i="2"/>
  <c r="J68" i="2" s="1"/>
  <c r="E68" i="2"/>
  <c r="I83" i="2"/>
  <c r="J83" i="2" s="1"/>
  <c r="E83" i="2"/>
  <c r="H91" i="2"/>
  <c r="H114" i="2"/>
  <c r="I115" i="2"/>
  <c r="J115" i="2" s="1"/>
  <c r="E115" i="2"/>
  <c r="E52" i="2"/>
  <c r="I52" i="2"/>
  <c r="J52" i="2" s="1"/>
  <c r="H24" i="2"/>
  <c r="H25" i="2"/>
  <c r="E39" i="2"/>
  <c r="I39" i="2"/>
  <c r="J39" i="2" s="1"/>
  <c r="E44" i="2"/>
  <c r="I44" i="2"/>
  <c r="J44" i="2" s="1"/>
  <c r="H55" i="2"/>
  <c r="H60" i="2"/>
  <c r="I61" i="2"/>
  <c r="J61" i="2" s="1"/>
  <c r="E61" i="2"/>
  <c r="H72" i="2"/>
  <c r="H77" i="2"/>
  <c r="H85" i="2"/>
  <c r="E92" i="2"/>
  <c r="I92" i="2"/>
  <c r="J92" i="2" s="1"/>
  <c r="H107" i="2"/>
  <c r="E108" i="2"/>
  <c r="I108" i="2"/>
  <c r="J108" i="2" s="1"/>
  <c r="E67" i="2"/>
  <c r="I67" i="2"/>
  <c r="J67" i="2" s="1"/>
  <c r="H22" i="2"/>
  <c r="E26" i="2"/>
  <c r="I26" i="2"/>
  <c r="J26" i="2" s="1"/>
  <c r="H29" i="2"/>
  <c r="H33" i="2"/>
  <c r="I35" i="2"/>
  <c r="J35" i="2" s="1"/>
  <c r="E35" i="2"/>
  <c r="E55" i="2"/>
  <c r="I55" i="2"/>
  <c r="J55" i="2" s="1"/>
  <c r="E60" i="2"/>
  <c r="I60" i="2"/>
  <c r="J60" i="2" s="1"/>
  <c r="H70" i="2"/>
  <c r="E86" i="2"/>
  <c r="I86" i="2"/>
  <c r="J86" i="2" s="1"/>
  <c r="H99" i="2"/>
  <c r="I107" i="2"/>
  <c r="J107" i="2" s="1"/>
  <c r="E107" i="2"/>
  <c r="E18" i="2"/>
  <c r="I18" i="2"/>
  <c r="J18" i="2" s="1"/>
  <c r="H21" i="2"/>
  <c r="H23" i="2"/>
  <c r="I30" i="2"/>
  <c r="J30" i="2" s="1"/>
  <c r="E30" i="2"/>
  <c r="H30" i="2"/>
  <c r="H18" i="2"/>
  <c r="H13" i="2"/>
  <c r="H14" i="2"/>
  <c r="H15" i="2"/>
  <c r="H32" i="2"/>
  <c r="H37" i="2"/>
  <c r="I38" i="2"/>
  <c r="J38" i="2" s="1"/>
  <c r="E38" i="2"/>
  <c r="H41" i="2"/>
  <c r="I43" i="2"/>
  <c r="J43" i="2" s="1"/>
  <c r="E43" i="2"/>
  <c r="E63" i="2"/>
  <c r="I63" i="2"/>
  <c r="J63" i="2" s="1"/>
  <c r="H75" i="2"/>
  <c r="I123" i="2"/>
  <c r="J123" i="2" s="1"/>
  <c r="E123" i="2"/>
  <c r="E47" i="2"/>
  <c r="I47" i="2"/>
  <c r="J47" i="2" s="1"/>
  <c r="E11" i="2"/>
  <c r="H97" i="2"/>
  <c r="H20" i="2"/>
  <c r="H28" i="2"/>
  <c r="I29" i="2"/>
  <c r="J29" i="2" s="1"/>
  <c r="E29" i="2"/>
  <c r="H40" i="2"/>
  <c r="H45" i="2"/>
  <c r="I46" i="2"/>
  <c r="J46" i="2" s="1"/>
  <c r="E46" i="2"/>
  <c r="H49" i="2"/>
  <c r="I51" i="2"/>
  <c r="J51" i="2" s="1"/>
  <c r="E51" i="2"/>
  <c r="H65" i="2"/>
  <c r="I66" i="2"/>
  <c r="J66" i="2" s="1"/>
  <c r="E66" i="2"/>
  <c r="E76" i="2"/>
  <c r="I76" i="2"/>
  <c r="J76" i="2" s="1"/>
  <c r="I81" i="2"/>
  <c r="J81" i="2" s="1"/>
  <c r="E81" i="2"/>
  <c r="H88" i="2"/>
  <c r="H98" i="2"/>
  <c r="I99" i="2"/>
  <c r="J99" i="2" s="1"/>
  <c r="E99" i="2"/>
  <c r="I37" i="2"/>
  <c r="J37" i="2" s="1"/>
  <c r="E37" i="2"/>
  <c r="H48" i="2"/>
  <c r="H53" i="2"/>
  <c r="I54" i="2"/>
  <c r="J54" i="2" s="1"/>
  <c r="E54" i="2"/>
  <c r="H57" i="2"/>
  <c r="I59" i="2"/>
  <c r="J59" i="2" s="1"/>
  <c r="E59" i="2"/>
  <c r="H80" i="2"/>
  <c r="H83" i="2"/>
  <c r="I84" i="2"/>
  <c r="J84" i="2" s="1"/>
  <c r="E84" i="2"/>
  <c r="H36" i="2"/>
  <c r="E20" i="2"/>
  <c r="I20" i="2"/>
  <c r="J20" i="2" s="1"/>
  <c r="E28" i="2"/>
  <c r="I28" i="2"/>
  <c r="J28" i="2" s="1"/>
  <c r="H39" i="2"/>
  <c r="H44" i="2"/>
  <c r="I45" i="2"/>
  <c r="J45" i="2" s="1"/>
  <c r="E45" i="2"/>
  <c r="H56" i="2"/>
  <c r="H61" i="2"/>
  <c r="I62" i="2"/>
  <c r="J62" i="2" s="1"/>
  <c r="E62" i="2"/>
  <c r="I65" i="2"/>
  <c r="J65" i="2" s="1"/>
  <c r="E65" i="2"/>
  <c r="H63" i="2"/>
  <c r="E72" i="2"/>
  <c r="H96" i="2"/>
  <c r="E100" i="2"/>
  <c r="H108" i="2"/>
  <c r="E112" i="2"/>
  <c r="I126" i="2"/>
  <c r="J126" i="2" s="1"/>
  <c r="E126" i="2"/>
  <c r="H139" i="2"/>
  <c r="H145" i="2"/>
  <c r="I163" i="2"/>
  <c r="J163" i="2" s="1"/>
  <c r="E163" i="2"/>
  <c r="E173" i="2"/>
  <c r="I173" i="2"/>
  <c r="J173" i="2" s="1"/>
  <c r="H186" i="2"/>
  <c r="I193" i="2"/>
  <c r="J193" i="2" s="1"/>
  <c r="E193" i="2"/>
  <c r="E21" i="2"/>
  <c r="H308" i="2"/>
  <c r="H300" i="2"/>
  <c r="H292" i="2"/>
  <c r="H284" i="2"/>
  <c r="H276" i="2"/>
  <c r="H268" i="2"/>
  <c r="H260" i="2"/>
  <c r="H310" i="2"/>
  <c r="H302" i="2"/>
  <c r="H294" i="2"/>
  <c r="H286" i="2"/>
  <c r="H278" i="2"/>
  <c r="H304" i="2"/>
  <c r="H296" i="2"/>
  <c r="H288" i="2"/>
  <c r="H280" i="2"/>
  <c r="H272" i="2"/>
  <c r="H264" i="2"/>
  <c r="H262" i="2"/>
  <c r="H298" i="2"/>
  <c r="H282" i="2"/>
  <c r="H270" i="2"/>
  <c r="H306" i="2"/>
  <c r="H266" i="2"/>
  <c r="H290" i="2"/>
  <c r="H274" i="2"/>
  <c r="H258" i="2"/>
  <c r="H256" i="2"/>
  <c r="H246" i="2"/>
  <c r="H230" i="2"/>
  <c r="H214" i="2"/>
  <c r="H190" i="2"/>
  <c r="H189" i="2"/>
  <c r="H165" i="2"/>
  <c r="H160" i="2"/>
  <c r="H154" i="2"/>
  <c r="H149" i="2"/>
  <c r="H144" i="2"/>
  <c r="H138" i="2"/>
  <c r="H135" i="2"/>
  <c r="H254" i="2"/>
  <c r="H236" i="2"/>
  <c r="H220" i="2"/>
  <c r="H204" i="2"/>
  <c r="H242" i="2"/>
  <c r="H226" i="2"/>
  <c r="H210" i="2"/>
  <c r="H198" i="2"/>
  <c r="H197" i="2"/>
  <c r="H169" i="2"/>
  <c r="H164" i="2"/>
  <c r="H158" i="2"/>
  <c r="H153" i="2"/>
  <c r="H148" i="2"/>
  <c r="H142" i="2"/>
  <c r="H137" i="2"/>
  <c r="H129" i="2"/>
  <c r="H121" i="2"/>
  <c r="H113" i="2"/>
  <c r="H248" i="2"/>
  <c r="H232" i="2"/>
  <c r="H216" i="2"/>
  <c r="H200" i="2"/>
  <c r="H238" i="2"/>
  <c r="H222" i="2"/>
  <c r="H206" i="2"/>
  <c r="H162" i="2"/>
  <c r="H146" i="2"/>
  <c r="H250" i="2"/>
  <c r="H244" i="2"/>
  <c r="H228" i="2"/>
  <c r="H212" i="2"/>
  <c r="H177" i="2"/>
  <c r="H174" i="2"/>
  <c r="H136" i="2"/>
  <c r="H128" i="2"/>
  <c r="H234" i="2"/>
  <c r="H218" i="2"/>
  <c r="H202" i="2"/>
  <c r="H182" i="2"/>
  <c r="H181" i="2"/>
  <c r="H173" i="2"/>
  <c r="H166" i="2"/>
  <c r="H150" i="2"/>
  <c r="E16" i="2"/>
  <c r="E24" i="2"/>
  <c r="E32" i="2"/>
  <c r="E40" i="2"/>
  <c r="E48" i="2"/>
  <c r="E56" i="2"/>
  <c r="I70" i="2"/>
  <c r="J70" i="2" s="1"/>
  <c r="H71" i="2"/>
  <c r="E73" i="2"/>
  <c r="H76" i="2"/>
  <c r="I80" i="2"/>
  <c r="J80" i="2" s="1"/>
  <c r="H81" i="2"/>
  <c r="H86" i="2"/>
  <c r="E88" i="2"/>
  <c r="H92" i="2"/>
  <c r="I96" i="2"/>
  <c r="J96" i="2" s="1"/>
  <c r="H109" i="2"/>
  <c r="H116" i="2"/>
  <c r="H117" i="2"/>
  <c r="H118" i="2"/>
  <c r="H119" i="2"/>
  <c r="H131" i="2"/>
  <c r="I134" i="2"/>
  <c r="J134" i="2" s="1"/>
  <c r="E134" i="2"/>
  <c r="H168" i="2"/>
  <c r="H185" i="2"/>
  <c r="I198" i="2"/>
  <c r="J198" i="2" s="1"/>
  <c r="E198" i="2"/>
  <c r="H251" i="2"/>
  <c r="H252" i="2"/>
  <c r="H26" i="2"/>
  <c r="H34" i="2"/>
  <c r="H42" i="2"/>
  <c r="H50" i="2"/>
  <c r="H58" i="2"/>
  <c r="H64" i="2"/>
  <c r="H82" i="2"/>
  <c r="H87" i="2"/>
  <c r="E89" i="2"/>
  <c r="H100" i="2"/>
  <c r="H110" i="2"/>
  <c r="H111" i="2"/>
  <c r="H115" i="2"/>
  <c r="H120" i="2"/>
  <c r="E122" i="2"/>
  <c r="I122" i="2"/>
  <c r="J122" i="2" s="1"/>
  <c r="H130" i="2"/>
  <c r="E145" i="2"/>
  <c r="I145" i="2"/>
  <c r="J145" i="2" s="1"/>
  <c r="H156" i="2"/>
  <c r="H157" i="2"/>
  <c r="I158" i="2"/>
  <c r="J158" i="2" s="1"/>
  <c r="E158" i="2"/>
  <c r="I169" i="2"/>
  <c r="J169" i="2" s="1"/>
  <c r="E169" i="2"/>
  <c r="H183" i="2"/>
  <c r="H213" i="2"/>
  <c r="I34" i="2"/>
  <c r="J34" i="2" s="1"/>
  <c r="I42" i="2"/>
  <c r="J42" i="2" s="1"/>
  <c r="I50" i="2"/>
  <c r="J50" i="2" s="1"/>
  <c r="I58" i="2"/>
  <c r="J58" i="2" s="1"/>
  <c r="I64" i="2"/>
  <c r="J64" i="2" s="1"/>
  <c r="H68" i="2"/>
  <c r="I82" i="2"/>
  <c r="J82" i="2" s="1"/>
  <c r="I87" i="2"/>
  <c r="J87" i="2" s="1"/>
  <c r="H93" i="2"/>
  <c r="H101" i="2"/>
  <c r="H112" i="2"/>
  <c r="I118" i="2"/>
  <c r="J118" i="2" s="1"/>
  <c r="E118" i="2"/>
  <c r="I148" i="2"/>
  <c r="J148" i="2" s="1"/>
  <c r="E148" i="2"/>
  <c r="H155" i="2"/>
  <c r="H161" i="2"/>
  <c r="H229" i="2"/>
  <c r="H73" i="2"/>
  <c r="I77" i="2"/>
  <c r="J77" i="2" s="1"/>
  <c r="I93" i="2"/>
  <c r="J93" i="2" s="1"/>
  <c r="I101" i="2"/>
  <c r="J101" i="2" s="1"/>
  <c r="H102" i="2"/>
  <c r="I110" i="2"/>
  <c r="J110" i="2" s="1"/>
  <c r="E110" i="2"/>
  <c r="E114" i="2"/>
  <c r="I114" i="2"/>
  <c r="J114" i="2" s="1"/>
  <c r="E128" i="2"/>
  <c r="E130" i="2"/>
  <c r="I130" i="2"/>
  <c r="J130" i="2" s="1"/>
  <c r="I137" i="2"/>
  <c r="J137" i="2" s="1"/>
  <c r="E137" i="2"/>
  <c r="E146" i="2"/>
  <c r="H208" i="2"/>
  <c r="E209" i="2"/>
  <c r="I209" i="2"/>
  <c r="J209" i="2" s="1"/>
  <c r="H245" i="2"/>
  <c r="H11" i="2"/>
  <c r="H19" i="2"/>
  <c r="H27" i="2"/>
  <c r="H35" i="2"/>
  <c r="H43" i="2"/>
  <c r="H51" i="2"/>
  <c r="H59" i="2"/>
  <c r="H69" i="2"/>
  <c r="E75" i="2"/>
  <c r="H78" i="2"/>
  <c r="H84" i="2"/>
  <c r="H89" i="2"/>
  <c r="E91" i="2"/>
  <c r="H94" i="2"/>
  <c r="E97" i="2"/>
  <c r="E98" i="2"/>
  <c r="I102" i="2"/>
  <c r="J102" i="2" s="1"/>
  <c r="H103" i="2"/>
  <c r="E141" i="2"/>
  <c r="I147" i="2"/>
  <c r="J147" i="2" s="1"/>
  <c r="E147" i="2"/>
  <c r="E161" i="2"/>
  <c r="I161" i="2"/>
  <c r="J161" i="2" s="1"/>
  <c r="I204" i="2"/>
  <c r="J204" i="2" s="1"/>
  <c r="E204" i="2"/>
  <c r="H224" i="2"/>
  <c r="H38" i="2"/>
  <c r="H46" i="2"/>
  <c r="H54" i="2"/>
  <c r="H62" i="2"/>
  <c r="H66" i="2"/>
  <c r="H74" i="2"/>
  <c r="H79" i="2"/>
  <c r="H90" i="2"/>
  <c r="H95" i="2"/>
  <c r="H104" i="2"/>
  <c r="H105" i="2"/>
  <c r="H106" i="2"/>
  <c r="E121" i="2"/>
  <c r="H124" i="2"/>
  <c r="H125" i="2"/>
  <c r="H126" i="2"/>
  <c r="H127" i="2"/>
  <c r="I129" i="2"/>
  <c r="J129" i="2" s="1"/>
  <c r="E129" i="2"/>
  <c r="H152" i="2"/>
  <c r="I164" i="2"/>
  <c r="J164" i="2" s="1"/>
  <c r="E164" i="2"/>
  <c r="H193" i="2"/>
  <c r="H240" i="2"/>
  <c r="H122" i="2"/>
  <c r="H123" i="2"/>
  <c r="H132" i="2"/>
  <c r="H133" i="2"/>
  <c r="H134" i="2"/>
  <c r="E136" i="2"/>
  <c r="I136" i="2"/>
  <c r="J136" i="2" s="1"/>
  <c r="H140" i="2"/>
  <c r="H141" i="2"/>
  <c r="I142" i="2"/>
  <c r="J142" i="2" s="1"/>
  <c r="E142" i="2"/>
  <c r="I153" i="2"/>
  <c r="J153" i="2" s="1"/>
  <c r="E153" i="2"/>
  <c r="H172" i="2"/>
  <c r="I194" i="2"/>
  <c r="J194" i="2" s="1"/>
  <c r="E194" i="2"/>
  <c r="H176" i="2"/>
  <c r="H179" i="2"/>
  <c r="H180" i="2"/>
  <c r="I186" i="2"/>
  <c r="J186" i="2" s="1"/>
  <c r="E189" i="2"/>
  <c r="I189" i="2"/>
  <c r="J189" i="2" s="1"/>
  <c r="E203" i="2"/>
  <c r="I203" i="2"/>
  <c r="J203" i="2" s="1"/>
  <c r="H207" i="2"/>
  <c r="I214" i="2"/>
  <c r="J214" i="2" s="1"/>
  <c r="E214" i="2"/>
  <c r="E219" i="2"/>
  <c r="I219" i="2"/>
  <c r="J219" i="2" s="1"/>
  <c r="H223" i="2"/>
  <c r="H239" i="2"/>
  <c r="E144" i="2"/>
  <c r="I144" i="2"/>
  <c r="J144" i="2" s="1"/>
  <c r="H151" i="2"/>
  <c r="E160" i="2"/>
  <c r="I160" i="2"/>
  <c r="J160" i="2" s="1"/>
  <c r="H167" i="2"/>
  <c r="I172" i="2"/>
  <c r="J172" i="2" s="1"/>
  <c r="E172" i="2"/>
  <c r="H175" i="2"/>
  <c r="H178" i="2"/>
  <c r="I185" i="2"/>
  <c r="J185" i="2" s="1"/>
  <c r="E185" i="2"/>
  <c r="H201" i="2"/>
  <c r="E208" i="2"/>
  <c r="I208" i="2"/>
  <c r="J208" i="2" s="1"/>
  <c r="E213" i="2"/>
  <c r="I213" i="2"/>
  <c r="J213" i="2" s="1"/>
  <c r="H217" i="2"/>
  <c r="H233" i="2"/>
  <c r="H249" i="2"/>
  <c r="E269" i="2"/>
  <c r="I269" i="2"/>
  <c r="J269" i="2" s="1"/>
  <c r="E181" i="2"/>
  <c r="I181" i="2"/>
  <c r="J181" i="2" s="1"/>
  <c r="E202" i="2"/>
  <c r="I202" i="2"/>
  <c r="J202" i="2" s="1"/>
  <c r="E207" i="2"/>
  <c r="I207" i="2"/>
  <c r="J207" i="2" s="1"/>
  <c r="H211" i="2"/>
  <c r="E218" i="2"/>
  <c r="I218" i="2"/>
  <c r="J218" i="2" s="1"/>
  <c r="H227" i="2"/>
  <c r="H243" i="2"/>
  <c r="I140" i="2"/>
  <c r="J140" i="2" s="1"/>
  <c r="E140" i="2"/>
  <c r="E143" i="2"/>
  <c r="H147" i="2"/>
  <c r="I156" i="2"/>
  <c r="J156" i="2" s="1"/>
  <c r="E156" i="2"/>
  <c r="E159" i="2"/>
  <c r="H163" i="2"/>
  <c r="E170" i="2"/>
  <c r="I177" i="2"/>
  <c r="J177" i="2" s="1"/>
  <c r="E177" i="2"/>
  <c r="E191" i="2"/>
  <c r="H199" i="2"/>
  <c r="E201" i="2"/>
  <c r="I201" i="2"/>
  <c r="J201" i="2" s="1"/>
  <c r="H205" i="2"/>
  <c r="I212" i="2"/>
  <c r="J212" i="2" s="1"/>
  <c r="E212" i="2"/>
  <c r="E217" i="2"/>
  <c r="I217" i="2"/>
  <c r="J217" i="2" s="1"/>
  <c r="H221" i="2"/>
  <c r="H237" i="2"/>
  <c r="H192" i="2"/>
  <c r="H195" i="2"/>
  <c r="H196" i="2"/>
  <c r="I206" i="2"/>
  <c r="J206" i="2" s="1"/>
  <c r="E206" i="2"/>
  <c r="E211" i="2"/>
  <c r="I211" i="2"/>
  <c r="J211" i="2" s="1"/>
  <c r="H215" i="2"/>
  <c r="H231" i="2"/>
  <c r="H247" i="2"/>
  <c r="H143" i="2"/>
  <c r="E152" i="2"/>
  <c r="I152" i="2"/>
  <c r="J152" i="2" s="1"/>
  <c r="H159" i="2"/>
  <c r="E168" i="2"/>
  <c r="I168" i="2"/>
  <c r="J168" i="2" s="1"/>
  <c r="H170" i="2"/>
  <c r="H171" i="2"/>
  <c r="E183" i="2"/>
  <c r="H191" i="2"/>
  <c r="H194" i="2"/>
  <c r="E200" i="2"/>
  <c r="I200" i="2"/>
  <c r="J200" i="2" s="1"/>
  <c r="E205" i="2"/>
  <c r="I205" i="2"/>
  <c r="J205" i="2" s="1"/>
  <c r="H209" i="2"/>
  <c r="E216" i="2"/>
  <c r="I216" i="2"/>
  <c r="J216" i="2" s="1"/>
  <c r="H225" i="2"/>
  <c r="H241" i="2"/>
  <c r="H253" i="2"/>
  <c r="H184" i="2"/>
  <c r="H187" i="2"/>
  <c r="H188" i="2"/>
  <c r="E197" i="2"/>
  <c r="I197" i="2"/>
  <c r="J197" i="2" s="1"/>
  <c r="H203" i="2"/>
  <c r="E210" i="2"/>
  <c r="I210" i="2"/>
  <c r="J210" i="2" s="1"/>
  <c r="E215" i="2"/>
  <c r="I215" i="2"/>
  <c r="J215" i="2" s="1"/>
  <c r="H219" i="2"/>
  <c r="H235" i="2"/>
  <c r="I262" i="2"/>
  <c r="J262" i="2" s="1"/>
  <c r="E262" i="2"/>
  <c r="H275" i="2"/>
  <c r="I281" i="2"/>
  <c r="J281" i="2" s="1"/>
  <c r="E281" i="2"/>
  <c r="H285" i="2"/>
  <c r="I286" i="2"/>
  <c r="J286" i="2" s="1"/>
  <c r="E286" i="2"/>
  <c r="H291" i="2"/>
  <c r="I297" i="2"/>
  <c r="J297" i="2" s="1"/>
  <c r="E297" i="2"/>
  <c r="E309" i="2"/>
  <c r="I309" i="2"/>
  <c r="J309" i="2" s="1"/>
  <c r="I221" i="2"/>
  <c r="J221" i="2" s="1"/>
  <c r="I223" i="2"/>
  <c r="J223" i="2" s="1"/>
  <c r="I225" i="2"/>
  <c r="J225" i="2" s="1"/>
  <c r="I227" i="2"/>
  <c r="J227" i="2" s="1"/>
  <c r="I229" i="2"/>
  <c r="J229" i="2" s="1"/>
  <c r="I231" i="2"/>
  <c r="J231" i="2" s="1"/>
  <c r="I233" i="2"/>
  <c r="J233" i="2" s="1"/>
  <c r="I235" i="2"/>
  <c r="J235" i="2" s="1"/>
  <c r="I237" i="2"/>
  <c r="J237" i="2" s="1"/>
  <c r="I239" i="2"/>
  <c r="J239" i="2" s="1"/>
  <c r="I241" i="2"/>
  <c r="J241" i="2" s="1"/>
  <c r="I243" i="2"/>
  <c r="J243" i="2" s="1"/>
  <c r="I245" i="2"/>
  <c r="J245" i="2" s="1"/>
  <c r="I247" i="2"/>
  <c r="J247" i="2" s="1"/>
  <c r="H255" i="2"/>
  <c r="H257" i="2"/>
  <c r="H259" i="2"/>
  <c r="E261" i="2"/>
  <c r="I261" i="2"/>
  <c r="J261" i="2" s="1"/>
  <c r="H267" i="2"/>
  <c r="H295" i="2"/>
  <c r="H301" i="2"/>
  <c r="I302" i="2"/>
  <c r="J302" i="2" s="1"/>
  <c r="E302" i="2"/>
  <c r="H307" i="2"/>
  <c r="I176" i="2"/>
  <c r="J176" i="2" s="1"/>
  <c r="E180" i="2"/>
  <c r="I184" i="2"/>
  <c r="J184" i="2" s="1"/>
  <c r="E188" i="2"/>
  <c r="I192" i="2"/>
  <c r="J192" i="2" s="1"/>
  <c r="E196" i="2"/>
  <c r="I255" i="2"/>
  <c r="J255" i="2" s="1"/>
  <c r="I257" i="2"/>
  <c r="J257" i="2" s="1"/>
  <c r="I259" i="2"/>
  <c r="J259" i="2" s="1"/>
  <c r="I267" i="2"/>
  <c r="J267" i="2" s="1"/>
  <c r="H273" i="2"/>
  <c r="H279" i="2"/>
  <c r="E285" i="2"/>
  <c r="I285" i="2"/>
  <c r="J285" i="2" s="1"/>
  <c r="H289" i="2"/>
  <c r="I295" i="2"/>
  <c r="J295" i="2" s="1"/>
  <c r="I220" i="2"/>
  <c r="J220" i="2" s="1"/>
  <c r="E220" i="2"/>
  <c r="I222" i="2"/>
  <c r="J222" i="2" s="1"/>
  <c r="E222" i="2"/>
  <c r="E224" i="2"/>
  <c r="I224" i="2"/>
  <c r="J224" i="2" s="1"/>
  <c r="E226" i="2"/>
  <c r="I226" i="2"/>
  <c r="J226" i="2" s="1"/>
  <c r="I228" i="2"/>
  <c r="J228" i="2" s="1"/>
  <c r="E228" i="2"/>
  <c r="I230" i="2"/>
  <c r="J230" i="2" s="1"/>
  <c r="E230" i="2"/>
  <c r="E232" i="2"/>
  <c r="I232" i="2"/>
  <c r="J232" i="2" s="1"/>
  <c r="E234" i="2"/>
  <c r="I234" i="2"/>
  <c r="J234" i="2" s="1"/>
  <c r="I236" i="2"/>
  <c r="J236" i="2" s="1"/>
  <c r="E236" i="2"/>
  <c r="I238" i="2"/>
  <c r="J238" i="2" s="1"/>
  <c r="E238" i="2"/>
  <c r="E240" i="2"/>
  <c r="I240" i="2"/>
  <c r="J240" i="2" s="1"/>
  <c r="E242" i="2"/>
  <c r="I242" i="2"/>
  <c r="J242" i="2" s="1"/>
  <c r="I244" i="2"/>
  <c r="J244" i="2" s="1"/>
  <c r="E244" i="2"/>
  <c r="I246" i="2"/>
  <c r="J246" i="2" s="1"/>
  <c r="E246" i="2"/>
  <c r="E248" i="2"/>
  <c r="I248" i="2"/>
  <c r="J248" i="2" s="1"/>
  <c r="E250" i="2"/>
  <c r="I250" i="2"/>
  <c r="J250" i="2" s="1"/>
  <c r="I252" i="2"/>
  <c r="J252" i="2" s="1"/>
  <c r="E252" i="2"/>
  <c r="I254" i="2"/>
  <c r="J254" i="2" s="1"/>
  <c r="E254" i="2"/>
  <c r="H265" i="2"/>
  <c r="E271" i="2"/>
  <c r="E274" i="2"/>
  <c r="I274" i="2"/>
  <c r="J274" i="2" s="1"/>
  <c r="E301" i="2"/>
  <c r="I301" i="2"/>
  <c r="J301" i="2" s="1"/>
  <c r="H305" i="2"/>
  <c r="H311" i="2"/>
  <c r="E256" i="2"/>
  <c r="I256" i="2"/>
  <c r="J256" i="2" s="1"/>
  <c r="E258" i="2"/>
  <c r="I258" i="2"/>
  <c r="J258" i="2" s="1"/>
  <c r="E266" i="2"/>
  <c r="I266" i="2"/>
  <c r="J266" i="2" s="1"/>
  <c r="I273" i="2"/>
  <c r="J273" i="2" s="1"/>
  <c r="E273" i="2"/>
  <c r="H283" i="2"/>
  <c r="I289" i="2"/>
  <c r="J289" i="2" s="1"/>
  <c r="E289" i="2"/>
  <c r="H293" i="2"/>
  <c r="I294" i="2"/>
  <c r="J294" i="2" s="1"/>
  <c r="E294" i="2"/>
  <c r="H299" i="2"/>
  <c r="I265" i="2"/>
  <c r="J265" i="2" s="1"/>
  <c r="E265" i="2"/>
  <c r="H271" i="2"/>
  <c r="H277" i="2"/>
  <c r="I278" i="2"/>
  <c r="J278" i="2" s="1"/>
  <c r="E278" i="2"/>
  <c r="H287" i="2"/>
  <c r="I305" i="2"/>
  <c r="J305" i="2" s="1"/>
  <c r="E305" i="2"/>
  <c r="H263" i="2"/>
  <c r="H269" i="2"/>
  <c r="H281" i="2"/>
  <c r="I287" i="2"/>
  <c r="J287" i="2" s="1"/>
  <c r="E291" i="2"/>
  <c r="E293" i="2"/>
  <c r="I293" i="2"/>
  <c r="J293" i="2" s="1"/>
  <c r="H297" i="2"/>
  <c r="H303" i="2"/>
  <c r="H309" i="2"/>
  <c r="I310" i="2"/>
  <c r="J310" i="2" s="1"/>
  <c r="E310" i="2"/>
  <c r="H261" i="2"/>
  <c r="I270" i="2"/>
  <c r="J270" i="2" s="1"/>
  <c r="E270" i="2"/>
  <c r="E277" i="2"/>
  <c r="I277" i="2"/>
  <c r="J277" i="2" s="1"/>
  <c r="I303" i="2"/>
  <c r="J303" i="2" s="1"/>
  <c r="E307" i="2"/>
  <c r="I282" i="2"/>
  <c r="J282" i="2" s="1"/>
  <c r="I290" i="2"/>
  <c r="J290" i="2" s="1"/>
  <c r="I298" i="2"/>
  <c r="J298" i="2" s="1"/>
  <c r="I306" i="2"/>
  <c r="J306" i="2" s="1"/>
  <c r="E260" i="2"/>
  <c r="I264" i="2"/>
  <c r="J264" i="2" s="1"/>
  <c r="E268" i="2"/>
  <c r="I272" i="2"/>
  <c r="J272" i="2" s="1"/>
  <c r="E276" i="2"/>
  <c r="I280" i="2"/>
  <c r="J280" i="2" s="1"/>
  <c r="E284" i="2"/>
  <c r="I288" i="2"/>
  <c r="J288" i="2" s="1"/>
  <c r="E292" i="2"/>
  <c r="I296" i="2"/>
  <c r="J296" i="2" s="1"/>
  <c r="E300" i="2"/>
  <c r="I304" i="2"/>
  <c r="J304" i="2" s="1"/>
  <c r="E30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EngineFault.25</t>
        </r>
      </text>
    </comment>
  </commentList>
</comments>
</file>

<file path=xl/sharedStrings.xml><?xml version="1.0" encoding="utf-8"?>
<sst xmlns="http://schemas.openxmlformats.org/spreadsheetml/2006/main" count="3650" uniqueCount="843">
  <si>
    <t>CompanyName</t>
  </si>
  <si>
    <t>RunDate</t>
  </si>
  <si>
    <t>FromDate</t>
  </si>
  <si>
    <t>ToDate</t>
  </si>
  <si>
    <t>SendReport</t>
  </si>
  <si>
    <t>LastModifiedUser</t>
  </si>
  <si>
    <t>Language</t>
  </si>
  <si>
    <t>en</t>
  </si>
  <si>
    <t>.Device.DeviceName</t>
  </si>
  <si>
    <t>.Device.DeviceGroup</t>
  </si>
  <si>
    <t>FaultDataDateTime</t>
  </si>
  <si>
    <t>.Diagnostic.DiagnosticName</t>
  </si>
  <si>
    <t>.Diagnostic.DiagnosticCode</t>
  </si>
  <si>
    <t>.Diagnostic.Source.SourceName</t>
  </si>
  <si>
    <t>.Controller.ControllerName</t>
  </si>
  <si>
    <t>FaultDataFaultState</t>
  </si>
  <si>
    <t>Active</t>
  </si>
  <si>
    <t>Telematics Device</t>
  </si>
  <si>
    <t>**Engine Faults</t>
  </si>
  <si>
    <t>**Fault Count</t>
  </si>
  <si>
    <t>**Fault Codes</t>
  </si>
  <si>
    <t>**Date</t>
  </si>
  <si>
    <t>**From</t>
  </si>
  <si>
    <t>**To</t>
  </si>
  <si>
    <t>**Days</t>
  </si>
  <si>
    <t>**Device</t>
  </si>
  <si>
    <t>**Device Group</t>
  </si>
  <si>
    <t>**Description</t>
  </si>
  <si>
    <t>**Code</t>
  </si>
  <si>
    <t>**Fault State</t>
  </si>
  <si>
    <t>Grand Total</t>
  </si>
  <si>
    <t>**Source</t>
  </si>
  <si>
    <t>**Controller</t>
  </si>
  <si>
    <t>**Different Fault Count</t>
  </si>
  <si>
    <t>**Resource</t>
  </si>
  <si>
    <t>**Fault Code Count</t>
  </si>
  <si>
    <t>English</t>
  </si>
  <si>
    <t>Spanish</t>
  </si>
  <si>
    <t>German</t>
  </si>
  <si>
    <t>Japanese</t>
  </si>
  <si>
    <t>Polish</t>
  </si>
  <si>
    <t>Portuguese-Brazil</t>
  </si>
  <si>
    <t>Dutch</t>
  </si>
  <si>
    <t>Dispositif</t>
  </si>
  <si>
    <t>Dispositivo</t>
  </si>
  <si>
    <t>Gerät</t>
  </si>
  <si>
    <t>デバイス</t>
  </si>
  <si>
    <t>Apparaat</t>
  </si>
  <si>
    <t>Groupe de dispositifs</t>
  </si>
  <si>
    <t>Grupo de dispositivos</t>
  </si>
  <si>
    <t>Gerätegruppe</t>
  </si>
  <si>
    <t>デバイスグループ</t>
  </si>
  <si>
    <t>Grupa urzadzen</t>
  </si>
  <si>
    <t>Grupo de dispositivo</t>
  </si>
  <si>
    <t>Apparaatgroep</t>
  </si>
  <si>
    <t>Date</t>
  </si>
  <si>
    <t>Fecha</t>
  </si>
  <si>
    <t>Datum</t>
  </si>
  <si>
    <t>データ</t>
  </si>
  <si>
    <t>Data</t>
  </si>
  <si>
    <t>**Dismiss Date</t>
  </si>
  <si>
    <t>Date de rejet</t>
  </si>
  <si>
    <t>Fecha de descarte</t>
  </si>
  <si>
    <t>Aufhebungsdatum</t>
  </si>
  <si>
    <t>日付を却下</t>
  </si>
  <si>
    <t>Data odrzucenia</t>
  </si>
  <si>
    <t>Data de extinção do defeito</t>
  </si>
  <si>
    <t>Datum verworpen</t>
  </si>
  <si>
    <t>**Dismiss User</t>
  </si>
  <si>
    <t>Rejeter l'utilisateur</t>
  </si>
  <si>
    <t>Usuario que lo descarta</t>
  </si>
  <si>
    <t>Aufhebender Benutzer</t>
  </si>
  <si>
    <t>ユーザーを却下</t>
  </si>
  <si>
    <t>Odrzuc uzytkownika</t>
  </si>
  <si>
    <t>Usuário que extinguiu o defeito</t>
  </si>
  <si>
    <t>Verworpen door gebruiker</t>
  </si>
  <si>
    <t>Description</t>
  </si>
  <si>
    <t>Descripción</t>
  </si>
  <si>
    <t>Beschreibung</t>
  </si>
  <si>
    <t>説明を入力してください</t>
  </si>
  <si>
    <t>Opis</t>
  </si>
  <si>
    <t>Descrição</t>
  </si>
  <si>
    <t>Omschrijving</t>
  </si>
  <si>
    <t>**Failure Mode</t>
  </si>
  <si>
    <t>Modes de défaillance</t>
  </si>
  <si>
    <t>Modo de Falla</t>
  </si>
  <si>
    <t>Ausfallart</t>
  </si>
  <si>
    <t>故障モード</t>
  </si>
  <si>
    <t>Sposób powstania awarii</t>
  </si>
  <si>
    <t>Modo de falha</t>
  </si>
  <si>
    <t>Storingsmodus</t>
  </si>
  <si>
    <t>Source</t>
  </si>
  <si>
    <t>Fuente</t>
  </si>
  <si>
    <t>Quelle</t>
  </si>
  <si>
    <t>ソース</t>
  </si>
  <si>
    <t>Fonte</t>
  </si>
  <si>
    <t>Bron</t>
  </si>
  <si>
    <t>Kontroler</t>
  </si>
  <si>
    <t>Controlador</t>
  </si>
  <si>
    <t>Controller</t>
  </si>
  <si>
    <t>Code</t>
  </si>
  <si>
    <t>Código</t>
  </si>
  <si>
    <t>コード</t>
  </si>
  <si>
    <t>Kod</t>
  </si>
  <si>
    <t>**Engine Fault Report</t>
  </si>
  <si>
    <t>Rapport d'anomalie du moteur</t>
  </si>
  <si>
    <t>Reporte de errores del motor</t>
  </si>
  <si>
    <t>Bericht Motorfehler</t>
  </si>
  <si>
    <t>エンジン異常レポート</t>
  </si>
  <si>
    <t>Raport usterek silnika</t>
  </si>
  <si>
    <t>Relatório de falhas do motor</t>
  </si>
  <si>
    <t>Rapport Motorstoring</t>
  </si>
  <si>
    <t>**Created</t>
  </si>
  <si>
    <t>Créé</t>
  </si>
  <si>
    <t>Creado</t>
  </si>
  <si>
    <t>Angelegt</t>
  </si>
  <si>
    <t>作成済</t>
  </si>
  <si>
    <t>Utworzono</t>
  </si>
  <si>
    <t>Criado em</t>
  </si>
  <si>
    <t>Aangemaakt</t>
  </si>
  <si>
    <t>Desde</t>
  </si>
  <si>
    <t>Von</t>
  </si>
  <si>
    <t>Od</t>
  </si>
  <si>
    <t>De</t>
  </si>
  <si>
    <t>Van</t>
  </si>
  <si>
    <t>Hasta</t>
  </si>
  <si>
    <t>Bis</t>
  </si>
  <si>
    <t>Do</t>
  </si>
  <si>
    <t>Para</t>
  </si>
  <si>
    <t>Vehículo y fallo</t>
  </si>
  <si>
    <t>Fahrzeug und Fehler</t>
  </si>
  <si>
    <t>**View Details</t>
  </si>
  <si>
    <t>Ver detalles</t>
  </si>
  <si>
    <t>Fehleranzahl</t>
  </si>
  <si>
    <t>Fehlercodes</t>
  </si>
  <si>
    <t>Días</t>
  </si>
  <si>
    <t>Tage</t>
  </si>
  <si>
    <t>Fehlerstatus</t>
  </si>
  <si>
    <t>ValidDateNum</t>
  </si>
  <si>
    <t>Italian</t>
  </si>
  <si>
    <t>Simplified Chinese</t>
  </si>
  <si>
    <t>Thai</t>
  </si>
  <si>
    <t>Indonesian</t>
  </si>
  <si>
    <t>Czech</t>
  </si>
  <si>
    <t>Swedish</t>
  </si>
  <si>
    <t>**Vehicle &amp; Fault</t>
  </si>
  <si>
    <t>Véhicule et faute</t>
  </si>
  <si>
    <t>車両およびフォールト</t>
  </si>
  <si>
    <t>Pojazd i usterka</t>
  </si>
  <si>
    <t>Veículo e falha</t>
  </si>
  <si>
    <t>Voertuig en storing</t>
  </si>
  <si>
    <t>Veicolo e problema</t>
  </si>
  <si>
    <t>车辆和故障</t>
  </si>
  <si>
    <t>รถและข้อผิดพลาด</t>
  </si>
  <si>
    <t>Kendaraan &amp; Kerusakan</t>
  </si>
  <si>
    <t>Vozidlo a závada</t>
  </si>
  <si>
    <t>Fordon och fel</t>
  </si>
  <si>
    <t>Nombre de fautes différentes</t>
  </si>
  <si>
    <t>Recuento de fallos distintos</t>
  </si>
  <si>
    <t>Anzahl der anderen Fehler</t>
  </si>
  <si>
    <t>異なるフォールト数</t>
  </si>
  <si>
    <t>Liczba różnych usterek</t>
  </si>
  <si>
    <t>Contagem de falhas diferentes</t>
  </si>
  <si>
    <t>Aantal verschillende fouten</t>
  </si>
  <si>
    <t>Conteggio problemi diversi</t>
  </si>
  <si>
    <t>不同故障计数</t>
  </si>
  <si>
    <t>จำนวนข้อผิดพลาดที่แตกต่าง</t>
  </si>
  <si>
    <t>Perhitungan Kerusakan yang Berbeda</t>
  </si>
  <si>
    <t>Počet odlišných závad</t>
  </si>
  <si>
    <t>Annat antal fel</t>
  </si>
  <si>
    <t>**Engine Fault Active?</t>
  </si>
  <si>
    <t>Faute de moteur active ?</t>
  </si>
  <si>
    <t>¿Fallo de motor activo?</t>
  </si>
  <si>
    <t>Fehlerdaten aktiv?</t>
  </si>
  <si>
    <t>エンジンフォールトが有効？</t>
  </si>
  <si>
    <t>Usterka silnika aktywna?</t>
  </si>
  <si>
    <t>Falha do motor ativa?</t>
  </si>
  <si>
    <t>Motorstoringen geactiveerd?</t>
  </si>
  <si>
    <t>Problema del motore attivo?</t>
  </si>
  <si>
    <t>发动机故障处于活动状态？</t>
  </si>
  <si>
    <t>เปิดใช้งานข้อผิดพลาดของเครื่องยนต์อยู่หรือไม่</t>
  </si>
  <si>
    <t>Kerusakan Mesin Aktif?</t>
  </si>
  <si>
    <t>Je závada motoru aktivní?</t>
  </si>
  <si>
    <t>Aktivt motorfel?</t>
  </si>
  <si>
    <t>**Engine Fault Telematics Source</t>
  </si>
  <si>
    <t>Source télématique de la faute de moteur</t>
  </si>
  <si>
    <t>Fuente telemática de fallo de motor</t>
  </si>
  <si>
    <t>Telematik-Quelle Fehlerdaten</t>
  </si>
  <si>
    <t>エンジンフォールトテレマティクスソース</t>
  </si>
  <si>
    <t>Usterka silnika — źródło układu telematyki</t>
  </si>
  <si>
    <t>Fonte telemática da falha do motor</t>
  </si>
  <si>
    <t>Telematica bron motorstoring</t>
  </si>
  <si>
    <t>Sorgente telematica del problema del motore</t>
  </si>
  <si>
    <t>发动机故障远程信息处理源</t>
  </si>
  <si>
    <t>ข้อผิดพลาดของเครื่องยนต์จากแหล่งเทเลเมติกส์</t>
  </si>
  <si>
    <t>Sumber Telematika Kerusakan Mesin</t>
  </si>
  <si>
    <t>Zdroj telematiky závady motoru</t>
  </si>
  <si>
    <t>Telematikkälla för motorfel</t>
  </si>
  <si>
    <t>Afficher les détails</t>
  </si>
  <si>
    <t>Details anzeigen</t>
  </si>
  <si>
    <t>詳細を表示</t>
  </si>
  <si>
    <t>Wyświetl szczegóły</t>
  </si>
  <si>
    <t>Exibir detalhes</t>
  </si>
  <si>
    <t>Details weergeven</t>
  </si>
  <si>
    <t>Visualizzare dettagli</t>
  </si>
  <si>
    <t>查看详细信息</t>
  </si>
  <si>
    <t>ดูรายละเอียด</t>
  </si>
  <si>
    <t>Lihat Detail</t>
  </si>
  <si>
    <t>Zobrazit podrobnosti</t>
  </si>
  <si>
    <t>Visa detaljer</t>
  </si>
  <si>
    <t>Fautes de moteur</t>
  </si>
  <si>
    <t>Fallos de motor</t>
  </si>
  <si>
    <t>Fehlerdaten</t>
  </si>
  <si>
    <t>エンジンフォールト</t>
  </si>
  <si>
    <t>Usterki silnika</t>
  </si>
  <si>
    <t>Falhas do motor</t>
  </si>
  <si>
    <t>Motorstoringen</t>
  </si>
  <si>
    <t>Problemi del motore</t>
  </si>
  <si>
    <t>发动机故障</t>
  </si>
  <si>
    <t>ข้อผิดพลาดของเครื่องยนต์สูงสุด</t>
  </si>
  <si>
    <t>Kerusakan Mesin</t>
  </si>
  <si>
    <t>Závady motoru</t>
  </si>
  <si>
    <t>Motorfel</t>
  </si>
  <si>
    <t>Nombre de fautes</t>
  </si>
  <si>
    <t>Recuento de fallos</t>
  </si>
  <si>
    <t>フォールト数</t>
  </si>
  <si>
    <t>Licznik usterek</t>
  </si>
  <si>
    <t>Contagem de falhas</t>
  </si>
  <si>
    <t>Aantal storingen</t>
  </si>
  <si>
    <t>Conteggio problemi</t>
  </si>
  <si>
    <t>故障计数</t>
  </si>
  <si>
    <t>จำนวนข้อผิดพลาด</t>
  </si>
  <si>
    <t>Perhitungan Kerusakan</t>
  </si>
  <si>
    <t>Počet závad</t>
  </si>
  <si>
    <t>Antal fel</t>
  </si>
  <si>
    <t>Codes de faute</t>
  </si>
  <si>
    <t>Códigos de error</t>
  </si>
  <si>
    <t>故障診断コード</t>
  </si>
  <si>
    <t>Kody usterek</t>
  </si>
  <si>
    <t>Códigos de falha</t>
  </si>
  <si>
    <t>Foutcodes</t>
  </si>
  <si>
    <t>Codici di errore</t>
  </si>
  <si>
    <t>故障代码</t>
  </si>
  <si>
    <t>รหัสระบุข้อผิดพลาด</t>
  </si>
  <si>
    <t>Kode Kesalahan</t>
  </si>
  <si>
    <t>Chybové kódy</t>
  </si>
  <si>
    <t>Felkoder</t>
  </si>
  <si>
    <t>**Vehicles with Engine Faults</t>
  </si>
  <si>
    <t>Véhicules présentant des fautes de moteur</t>
  </si>
  <si>
    <t>Vehículos con fallos de motor</t>
  </si>
  <si>
    <t>Fahrzeuge mit Fehlerdaten</t>
  </si>
  <si>
    <t>エンジンフォールトがある車両</t>
  </si>
  <si>
    <t>Pojazdy z usterkami silnika</t>
  </si>
  <si>
    <t>Veículos com falhas do motor</t>
  </si>
  <si>
    <t>Voertuigen met motorstoringen</t>
  </si>
  <si>
    <t>Veicoli con problemi del motore</t>
  </si>
  <si>
    <t>发动机故障车辆</t>
  </si>
  <si>
    <t>รถที่มีข้อผิดพลาดของเครื่องยนต์</t>
  </si>
  <si>
    <t>Kendaraan dengan Kerusakan Mesin</t>
  </si>
  <si>
    <t>Vozidla se závadami motoru</t>
  </si>
  <si>
    <t>Fordon med motorfel</t>
  </si>
  <si>
    <t>**The Active Engine Faults Report displays active engine faults for all vehicles. This report can be used for proactive maintenance programs.</t>
  </si>
  <si>
    <t>Le rapport des fautes de moteur actives indique les fautes du moteur actives de tous les véhicules. Ce rapport peut être utilisé pour les programmes d’entretien adapté.</t>
  </si>
  <si>
    <t>El reporte Fallos de motor activos muestra los fallos de motor activos de todos los vehículos. Este reporte se puede utilizar para programas de mantenimiento proactivos.</t>
  </si>
  <si>
    <t>Der Bericht „Aktive Fehlerdaten“ zeigt die aktiven Fehlerdaten zu allen Fahrzeugen an. Dieser Bericht kann für proaktive Wartungsprogramme verwendet werden.</t>
  </si>
  <si>
    <t>有効なエンジンフォールトレポートには、すべての車両の有効なエンジンフォールトが表示されます。このレポートは、予防的メンテナンスプログラムに使用してください。</t>
  </si>
  <si>
    <t>Raport Aktywne usterki silnika wyświetla aktywne usterki silnika dla wszystkich pojazdów. Z raportu tego można korzystać w programach aktywnej obsługi serwisowej.</t>
  </si>
  <si>
    <t>O Relatório de falhas ativas do motor exibe falhas ativas do motor para todos os veículos. Este relatório pode ser usado para programas de manutenção proativa.</t>
  </si>
  <si>
    <t>Het rapport Actieve motorstoringen toont actieve motorstoringen voor alle voertuigen. Dit rapport kan worden gebruikt voor proactieve onderhoudsprogramma's.</t>
  </si>
  <si>
    <t>Il report Problemi del motore attivi mostra i problemi del motore attivi per tutti i veicoli. Questo report può essere utilizzato per i programmi di manutenzione proattiva.</t>
  </si>
  <si>
    <t>“处于活动状态的发动机故障”显示所有车辆中处于活动状态的发动机故障。本报告可用于主动维护计划。</t>
  </si>
  <si>
    <t>รายงานข้อผิดพลาดของเครื่องยนต์ที่ใช้งานอยู่จะแสดงข้อผิดพลาดของเครื่องยนต์ที่ใช้งานอยู่ในรถทุกคัน รายงานนี้สามารถใช้เพื่อดำเนินการบำรุงรักษาเชิงรุกได้</t>
  </si>
  <si>
    <t>Laporan Kerusakan Mesin Aktif menampilkan kerusakan mesin aktif untuk semua kendaraan. Laporan ini dapat digunakan untuk program pemeliharaan proaktif.</t>
  </si>
  <si>
    <t>Výkaz Aktivní závady motoru udává počty aktivních závad motoru u všech vozidel. Tento výkaz je určen pro proaktivní programy údržby.</t>
  </si>
  <si>
    <t>Aktiva motorfelsrapporten visar aktiva motorfel för alla fordon. Den här rapporten kan användas för proaktiva underhållsprogram.</t>
  </si>
  <si>
    <t>État de la faute</t>
  </si>
  <si>
    <t>Estado de fallos</t>
  </si>
  <si>
    <t>フォールト状態</t>
  </si>
  <si>
    <t>Stan usterki</t>
  </si>
  <si>
    <t>Estado da falha</t>
  </si>
  <si>
    <t>Storingsstatus</t>
  </si>
  <si>
    <t>Stato del problema</t>
  </si>
  <si>
    <t>故障状态</t>
  </si>
  <si>
    <t>สถานะข้อผิดพลาด</t>
  </si>
  <si>
    <t>Status Kerusakan</t>
  </si>
  <si>
    <t>Stav závady</t>
  </si>
  <si>
    <t>Felstatus</t>
  </si>
  <si>
    <t>Nombre de codes de faute</t>
  </si>
  <si>
    <t>Recuento de códigos de error</t>
  </si>
  <si>
    <t>Fehlercode-Anzahl</t>
  </si>
  <si>
    <t>故障診断コード数</t>
  </si>
  <si>
    <t>Liczba kodów usterek</t>
  </si>
  <si>
    <t>Contagem de códigos de falha</t>
  </si>
  <si>
    <t>Aantal foutcodes</t>
  </si>
  <si>
    <t>Conteggio dei codici di errore</t>
  </si>
  <si>
    <t>故障代码计数</t>
  </si>
  <si>
    <t>จำนวนรหัสระบุข้อผิดพลาด</t>
  </si>
  <si>
    <t>Perhitungan Kode Kesalahan</t>
  </si>
  <si>
    <t>Počet chybových kódů</t>
  </si>
  <si>
    <t>Antal felkoder</t>
  </si>
  <si>
    <t>**No Engine Faults Detected</t>
  </si>
  <si>
    <t>Aucune faute de moteur détectée</t>
  </si>
  <si>
    <t>No se detectaron fallos de motor</t>
  </si>
  <si>
    <t>Keine Fehlerdaten erkannt</t>
  </si>
  <si>
    <t>エンジンフォールトが検出されませんでした</t>
  </si>
  <si>
    <t>Nie wykryto usterek silnika</t>
  </si>
  <si>
    <t>Nenhuma falha do motor detectada</t>
  </si>
  <si>
    <t>Geen motorstoringen gedetecteerd</t>
  </si>
  <si>
    <t>Nessun problema del motore rilevato</t>
  </si>
  <si>
    <t>未检测到发动机故障</t>
  </si>
  <si>
    <t>ตรวจไม่พบข้อผิดพลาดของเครื่องยนต์</t>
  </si>
  <si>
    <t>Kerusakan Mesin Tidak Terdeteksi</t>
  </si>
  <si>
    <t>Nebyly zjištěny žádné závady motoru</t>
  </si>
  <si>
    <t>Inga motorfel har identifierats</t>
  </si>
  <si>
    <t>Urządzenie</t>
  </si>
  <si>
    <t>设备</t>
  </si>
  <si>
    <t>อุปกรณ์</t>
  </si>
  <si>
    <t>Perangkat</t>
  </si>
  <si>
    <t>Zařízení</t>
  </si>
  <si>
    <t>Enhet</t>
  </si>
  <si>
    <t>Gruppo di dispositivi</t>
  </si>
  <si>
    <t>设备的组名</t>
  </si>
  <si>
    <t>กลุ่มอุปกรณ์</t>
  </si>
  <si>
    <t>Grup Perangkat</t>
  </si>
  <si>
    <t>Skupina zařízení</t>
  </si>
  <si>
    <t>Enhetsgrupp</t>
  </si>
  <si>
    <t>日期</t>
  </si>
  <si>
    <t>วันที่</t>
  </si>
  <si>
    <t>Tanggal</t>
  </si>
  <si>
    <t>Data di rimozione</t>
  </si>
  <si>
    <t>排除日期</t>
  </si>
  <si>
    <t>วันที่ละเว้น</t>
  </si>
  <si>
    <t>Abaikan Tanggal</t>
  </si>
  <si>
    <t>Datum zamítnutí</t>
  </si>
  <si>
    <t>Avfärda datum</t>
  </si>
  <si>
    <t>Rimuovere utente</t>
  </si>
  <si>
    <t>排除用户</t>
  </si>
  <si>
    <t>ผู้ใช้ที่ละเว้น</t>
  </si>
  <si>
    <t>Abaikan Pengguna</t>
  </si>
  <si>
    <t>Zamítnout uživatele</t>
  </si>
  <si>
    <t>Avfärda användare</t>
  </si>
  <si>
    <t>Descrizione</t>
  </si>
  <si>
    <t>描述</t>
  </si>
  <si>
    <t>คำอธิบาย</t>
  </si>
  <si>
    <t>Deskripsi</t>
  </si>
  <si>
    <t>Popis</t>
  </si>
  <si>
    <t>Beskrivning</t>
  </si>
  <si>
    <t>Modalità di guasto</t>
  </si>
  <si>
    <t>故障模式</t>
  </si>
  <si>
    <t>โหมดความล้มเหลว</t>
  </si>
  <si>
    <t>Mode Kegagalan</t>
  </si>
  <si>
    <t>Poruchový režim</t>
  </si>
  <si>
    <t>Felläge</t>
  </si>
  <si>
    <t>Źródło</t>
  </si>
  <si>
    <t>Sorgente</t>
  </si>
  <si>
    <t>来源</t>
  </si>
  <si>
    <t>แหล่ง</t>
  </si>
  <si>
    <t>Sumber</t>
  </si>
  <si>
    <t>Zdroj</t>
  </si>
  <si>
    <t>Källa</t>
  </si>
  <si>
    <t>Contrôleur</t>
  </si>
  <si>
    <t>コントローラ</t>
  </si>
  <si>
    <t>控制器</t>
  </si>
  <si>
    <t>ตัวควบคุม</t>
  </si>
  <si>
    <t>Pengontrol</t>
  </si>
  <si>
    <t>Ovladač</t>
  </si>
  <si>
    <t>Kontrollant</t>
  </si>
  <si>
    <t>Codice</t>
  </si>
  <si>
    <t>代码</t>
  </si>
  <si>
    <t>รหัส</t>
  </si>
  <si>
    <t>Kode</t>
  </si>
  <si>
    <t>Kód</t>
  </si>
  <si>
    <t>Report dei problemi del motore</t>
  </si>
  <si>
    <t>发动机故障报告</t>
  </si>
  <si>
    <t>รายงานข้อผิดพลาดของเครื่องยนต์</t>
  </si>
  <si>
    <t>Laporan Kerusakan Mesin</t>
  </si>
  <si>
    <t>Výkaz o závadě motoru</t>
  </si>
  <si>
    <t>Motorfelsrapport</t>
  </si>
  <si>
    <t>Creato</t>
  </si>
  <si>
    <t>创建日期</t>
  </si>
  <si>
    <t>สร้างแล้ว</t>
  </si>
  <si>
    <t>Dibuat</t>
  </si>
  <si>
    <t>Vytvořeno</t>
  </si>
  <si>
    <t>Skapad</t>
  </si>
  <si>
    <t>停車時刻</t>
  </si>
  <si>
    <t>Da</t>
  </si>
  <si>
    <t>自</t>
  </si>
  <si>
    <t>จาก</t>
  </si>
  <si>
    <t>Dari</t>
  </si>
  <si>
    <t>Från</t>
  </si>
  <si>
    <t>À</t>
  </si>
  <si>
    <t>発車時刻</t>
  </si>
  <si>
    <t>Tot</t>
  </si>
  <si>
    <t>A</t>
  </si>
  <si>
    <t>至</t>
  </si>
  <si>
    <t>ถึง</t>
  </si>
  <si>
    <t>Hingga</t>
  </si>
  <si>
    <t>Do/pro</t>
  </si>
  <si>
    <t>Till</t>
  </si>
  <si>
    <t>Ressource</t>
  </si>
  <si>
    <t>Recurso</t>
  </si>
  <si>
    <t>リソース</t>
  </si>
  <si>
    <t>Zasób</t>
  </si>
  <si>
    <t>Hulpbron</t>
  </si>
  <si>
    <t>Risorsa</t>
  </si>
  <si>
    <t>资源</t>
  </si>
  <si>
    <t>ทรัพยากร</t>
  </si>
  <si>
    <t>Sumber Daya</t>
  </si>
  <si>
    <t>Tillgång</t>
  </si>
  <si>
    <t>Jours</t>
  </si>
  <si>
    <t>日</t>
  </si>
  <si>
    <t>Dni</t>
  </si>
  <si>
    <t>Dias</t>
  </si>
  <si>
    <t>Dagen</t>
  </si>
  <si>
    <t>Giorni</t>
  </si>
  <si>
    <t>天</t>
  </si>
  <si>
    <t>วัน</t>
  </si>
  <si>
    <t>Hari</t>
  </si>
  <si>
    <t>Dny</t>
  </si>
  <si>
    <t>Dagar</t>
  </si>
  <si>
    <t>Turkish</t>
  </si>
  <si>
    <t>Aygıt</t>
  </si>
  <si>
    <t>Aygıt Grubu</t>
  </si>
  <si>
    <t>Tarih</t>
  </si>
  <si>
    <t>Kapatma Tarihi</t>
  </si>
  <si>
    <t>Kullanıcıyı Kapat</t>
  </si>
  <si>
    <t>Açıklama</t>
  </si>
  <si>
    <t>Hata Modu</t>
  </si>
  <si>
    <t>Kaynak</t>
  </si>
  <si>
    <t>Kontrol Aygıtı</t>
  </si>
  <si>
    <t>Motor Hata Raporu</t>
  </si>
  <si>
    <t>Oluşturuldu</t>
  </si>
  <si>
    <t>Gönderen</t>
  </si>
  <si>
    <t>Alıcı</t>
  </si>
  <si>
    <t>Araç ve Hata</t>
  </si>
  <si>
    <t>Farklı Hata Sayısı</t>
  </si>
  <si>
    <t>Motor Hatası Aktif Mi?</t>
  </si>
  <si>
    <t>Motor Hatası Telematik Kaynağı</t>
  </si>
  <si>
    <t>Ayrıntıları Görüntüle</t>
  </si>
  <si>
    <t>Motor Hataları</t>
  </si>
  <si>
    <t>Hata Sayısı</t>
  </si>
  <si>
    <t>Hata Kodları</t>
  </si>
  <si>
    <t>Motor Hataları Olan Araçlar</t>
  </si>
  <si>
    <t>Gün</t>
  </si>
  <si>
    <t>Aktif Motor Hataları Raporu, tüm araçlar için aktif motor hatalarını görüntüler. Bu rapor, proaktif bakım programları için kullanılabilir.</t>
  </si>
  <si>
    <t>Hata Durumu</t>
  </si>
  <si>
    <t>Hata Kodu Sayısı</t>
  </si>
  <si>
    <t>Motor Hatası Tespit Edilmedi</t>
  </si>
  <si>
    <t>.Device.DeviceId</t>
  </si>
  <si>
    <t>b1A</t>
  </si>
  <si>
    <t>Device ID</t>
  </si>
  <si>
    <t>Malay</t>
  </si>
  <si>
    <t>Peranti</t>
  </si>
  <si>
    <t>Kumpulan Peranti</t>
  </si>
  <si>
    <t>Tarikh</t>
  </si>
  <si>
    <t>Ketepikan Tarikh</t>
  </si>
  <si>
    <t>Ketepikan Pengguna</t>
  </si>
  <si>
    <t>Huraian</t>
  </si>
  <si>
    <t>Mod Kegagalan</t>
  </si>
  <si>
    <t>Pengawal</t>
  </si>
  <si>
    <t>Laporan Kegagalan Enjin</t>
  </si>
  <si>
    <t>Dicipta</t>
  </si>
  <si>
    <t>Daripada</t>
  </si>
  <si>
    <t>Ke</t>
  </si>
  <si>
    <t>Kenderaan &amp; Rosak</t>
  </si>
  <si>
    <t>Kiraan Kegagalan Berbeza</t>
  </si>
  <si>
    <t>Kegagalan Enjin Aktif?</t>
  </si>
  <si>
    <t>Sumber Telematik Kegagalan Enjin</t>
  </si>
  <si>
    <t>Lihat butiran</t>
  </si>
  <si>
    <t>Kerosakan Enjin</t>
  </si>
  <si>
    <t>Kiraan Kegagalan</t>
  </si>
  <si>
    <t>Kod Ralat</t>
  </si>
  <si>
    <t>Kenderaan dengan Kegagalan Enjin</t>
  </si>
  <si>
    <t>hari</t>
  </si>
  <si>
    <t>Laporan Kerosakan Enjin Aktif memaparkan kerosakan enjin aktif untuk semua kenderaan. Laporan ini boleh digunakan untuk program penyelenggaraan proaktif.</t>
  </si>
  <si>
    <t>Keadaan Kegagalan</t>
  </si>
  <si>
    <t>Kiraan Kod Kegagalan</t>
  </si>
  <si>
    <t>Tiada Kegagalan Enjin Dikesan</t>
  </si>
  <si>
    <t>French France</t>
  </si>
  <si>
    <t>Boîtier</t>
  </si>
  <si>
    <t>Groupe de boîtiers</t>
  </si>
  <si>
    <t>Date de l’action « Ignorer »</t>
  </si>
  <si>
    <t>Utilisateur qui a ignoré</t>
  </si>
  <si>
    <t>Mode d'échec</t>
  </si>
  <si>
    <t>Rapport des pannes du moteur</t>
  </si>
  <si>
    <t>À partir du</t>
  </si>
  <si>
    <t>Ressources</t>
  </si>
  <si>
    <t>Véhicule &amp; Panne</t>
  </si>
  <si>
    <t>Nombre de pannes différentes</t>
  </si>
  <si>
    <t>Panne du moteur active ?</t>
  </si>
  <si>
    <t>Source télématique des pannes du moteur</t>
  </si>
  <si>
    <t>Voir les détails</t>
  </si>
  <si>
    <t>Pannes du moteur</t>
  </si>
  <si>
    <t>Nombre de pannes</t>
  </si>
  <si>
    <t>Codes de panne</t>
  </si>
  <si>
    <t>Véhicules avec pannes du moteur</t>
  </si>
  <si>
    <t>jours</t>
  </si>
  <si>
    <t>Le rapport Pannes du moteur actives affiche les pannes du moteur actives de tous les véhicules. Il peut servir aux programmes d’entretien préventif.</t>
  </si>
  <si>
    <t>État de la panne</t>
  </si>
  <si>
    <t>Nombre de codes d’anomalie</t>
  </si>
  <si>
    <t>Aucune panne du moteur détectée</t>
  </si>
  <si>
    <t>French Canada</t>
  </si>
  <si>
    <t>**Fault Description</t>
  </si>
  <si>
    <t>**Effect On Component</t>
  </si>
  <si>
    <t>**Recommendation</t>
  </si>
  <si>
    <t>Description de la panne</t>
  </si>
  <si>
    <t>Fehlerbeschreibung</t>
  </si>
  <si>
    <t>故障説明</t>
  </si>
  <si>
    <t>Opis usterki</t>
  </si>
  <si>
    <t>Descrição do defeito</t>
  </si>
  <si>
    <t>Foutbeschrijving</t>
  </si>
  <si>
    <t>Descrizione del guasto</t>
  </si>
  <si>
    <t>故障描述</t>
  </si>
  <si>
    <t>รายละเอียดของข้อบกพร่อง</t>
  </si>
  <si>
    <t>Deskripsi Kerusakan</t>
  </si>
  <si>
    <t>Popis závady</t>
  </si>
  <si>
    <t>Felbeskrivning</t>
  </si>
  <si>
    <t>Arıza Tanımı</t>
  </si>
  <si>
    <t>Penerangan Kerosakan</t>
  </si>
  <si>
    <t>Incidence sur le composant</t>
  </si>
  <si>
    <t>Efecto en el componente</t>
  </si>
  <si>
    <t>Auswirkung auf die Komponente</t>
  </si>
  <si>
    <t>コンポーネントへの影響</t>
  </si>
  <si>
    <t>Wpływ na komponent</t>
  </si>
  <si>
    <t>Efeito no Componente</t>
  </si>
  <si>
    <t>Effect op onderdeel</t>
  </si>
  <si>
    <t>Effetto sul componente</t>
  </si>
  <si>
    <t>对组件的影响</t>
  </si>
  <si>
    <t>ผลกระทบต่อส่วนประกอบ</t>
  </si>
  <si>
    <t>Dampak Pada Komponen</t>
  </si>
  <si>
    <t>Vliv na komponent</t>
  </si>
  <si>
    <t>Effekt på komponent</t>
  </si>
  <si>
    <t>Bileşen üzerindeki etki</t>
  </si>
  <si>
    <t>Kesan Ke Atas Komponen</t>
  </si>
  <si>
    <t>Recommandation</t>
  </si>
  <si>
    <t>Recomendación</t>
  </si>
  <si>
    <t>Empfehlung</t>
  </si>
  <si>
    <t>推奨</t>
  </si>
  <si>
    <t>Rekomendacja</t>
  </si>
  <si>
    <t>Recomendação</t>
  </si>
  <si>
    <t>Aanbeveling</t>
  </si>
  <si>
    <t>Raccomandazione</t>
  </si>
  <si>
    <t>建议</t>
  </si>
  <si>
    <t>ข้อเสนอแนะ</t>
  </si>
  <si>
    <t>Rekomendasi</t>
  </si>
  <si>
    <t>Doporučení</t>
  </si>
  <si>
    <t>Rekommendation</t>
  </si>
  <si>
    <t>Tavsiye</t>
  </si>
  <si>
    <t>**Severity</t>
  </si>
  <si>
    <t>Sévérité</t>
  </si>
  <si>
    <t>Severidad</t>
  </si>
  <si>
    <t>Schweregrad</t>
  </si>
  <si>
    <t>深刻度</t>
  </si>
  <si>
    <t>Surowość</t>
  </si>
  <si>
    <t>Gravidade</t>
  </si>
  <si>
    <t>Ernst</t>
  </si>
  <si>
    <t>Gravità</t>
  </si>
  <si>
    <t>严重性</t>
  </si>
  <si>
    <t>ความรุนแรง</t>
  </si>
  <si>
    <t>Závažnost</t>
  </si>
  <si>
    <t>,Allvarlighetsgrad</t>
  </si>
  <si>
    <t>Şiddet</t>
  </si>
  <si>
    <t>Keterukan</t>
  </si>
  <si>
    <t>FaultDataSeverity</t>
  </si>
  <si>
    <t>Tingkat Keparahan</t>
  </si>
  <si>
    <t>.Device.DeviceGroup|Company Group</t>
  </si>
  <si>
    <t>FaultDataDescription</t>
  </si>
  <si>
    <t>FaultDataEffectOnComponent</t>
  </si>
  <si>
    <t>FaultDataRecommendation</t>
  </si>
  <si>
    <t>장치</t>
  </si>
  <si>
    <t>장치 그룹</t>
  </si>
  <si>
    <t>날짜</t>
  </si>
  <si>
    <t>날짜 무시</t>
  </si>
  <si>
    <t>사용자 무시</t>
  </si>
  <si>
    <t>설명</t>
  </si>
  <si>
    <t>고장 모드</t>
  </si>
  <si>
    <t>소스</t>
  </si>
  <si>
    <t>컨트롤러</t>
  </si>
  <si>
    <t>코드</t>
  </si>
  <si>
    <t>엔진 고장 보고서</t>
  </si>
  <si>
    <t>생성됨</t>
  </si>
  <si>
    <t>시작</t>
  </si>
  <si>
    <t>대상</t>
  </si>
  <si>
    <t>리소스</t>
  </si>
  <si>
    <t>차량 및 고장</t>
  </si>
  <si>
    <t>다른 고장 횟수</t>
  </si>
  <si>
    <t>엔진 고장 활성화 여부</t>
  </si>
  <si>
    <t>엔진 고장 텔레매틱스 소스</t>
  </si>
  <si>
    <t>세부 정보 보기</t>
  </si>
  <si>
    <t>엔진 고장</t>
  </si>
  <si>
    <t>고장 수</t>
  </si>
  <si>
    <t>고장 코드</t>
  </si>
  <si>
    <t>엔진 고장이 있는 차량</t>
  </si>
  <si>
    <t>일</t>
  </si>
  <si>
    <t>활성 엔진 고장 보고서에는 모든 차량의 활성 엔진 고장이 표시됩니다. 이 보고서는 사전 예방적 정비 프로그램에 사용할 수 있습니다.</t>
  </si>
  <si>
    <t>고장 상태</t>
  </si>
  <si>
    <t>고장 코드 수</t>
  </si>
  <si>
    <t>감지된 엔진 고장 없음</t>
  </si>
  <si>
    <t>고장 설명</t>
  </si>
  <si>
    <t>부품에 대한 영향</t>
  </si>
  <si>
    <t>권장 사항</t>
  </si>
  <si>
    <t>심각도</t>
  </si>
  <si>
    <t>Korean</t>
  </si>
  <si>
    <t>Traditional Chinese</t>
  </si>
  <si>
    <t>裝置</t>
  </si>
  <si>
    <t>裝置群組</t>
  </si>
  <si>
    <t>解除日期</t>
  </si>
  <si>
    <t>解除使用者</t>
  </si>
  <si>
    <t>來源</t>
  </si>
  <si>
    <t>代碼</t>
  </si>
  <si>
    <t>引擎故障報告</t>
  </si>
  <si>
    <t>已建立</t>
  </si>
  <si>
    <t>從</t>
  </si>
  <si>
    <t>資源</t>
  </si>
  <si>
    <t>車輛與故障</t>
  </si>
  <si>
    <t>不同故障計數</t>
  </si>
  <si>
    <t>引擎故障使用中？</t>
  </si>
  <si>
    <t>引擎故障智慧車載系統來源</t>
  </si>
  <si>
    <t>檢視詳細資訊</t>
  </si>
  <si>
    <t>引擎故障</t>
  </si>
  <si>
    <t>故障計數</t>
  </si>
  <si>
    <t>故障代碼</t>
  </si>
  <si>
    <t>具有引擎故障的車輛</t>
  </si>
  <si>
    <t>「使用中引擎故障報告」可顯示所有車輛的使用中引擎故障。此報告可用於主動式維護方案。</t>
  </si>
  <si>
    <t>故障狀態</t>
  </si>
  <si>
    <t>故障代碼計數</t>
  </si>
  <si>
    <t>未偵測到引擎故障</t>
  </si>
  <si>
    <t>對元件的影響</t>
  </si>
  <si>
    <t>建議</t>
  </si>
  <si>
    <t>嚴重性</t>
  </si>
  <si>
    <t>Danish</t>
  </si>
  <si>
    <t>Finnish</t>
  </si>
  <si>
    <t>Hungarian</t>
  </si>
  <si>
    <t>Norwegian</t>
  </si>
  <si>
    <t>Slovak</t>
  </si>
  <si>
    <t>Enhed</t>
  </si>
  <si>
    <t>Laite</t>
  </si>
  <si>
    <t>Készülék</t>
  </si>
  <si>
    <t>Zariadenie</t>
  </si>
  <si>
    <t>Enhedsgruppe</t>
  </si>
  <si>
    <t>Laiteryhmä</t>
  </si>
  <si>
    <t>Készülékcsoport</t>
  </si>
  <si>
    <t>Enhetsgruppe</t>
  </si>
  <si>
    <t>Skupina zariadení</t>
  </si>
  <si>
    <t>Dato</t>
  </si>
  <si>
    <t>Päivämäärä</t>
  </si>
  <si>
    <t>Dátum</t>
  </si>
  <si>
    <t>Afvis dato</t>
  </si>
  <si>
    <t>Hylkää päivämäärä</t>
  </si>
  <si>
    <t>Dátum elutasítása</t>
  </si>
  <si>
    <t>Avvis dato</t>
  </si>
  <si>
    <t>Dátum zrušenia</t>
  </si>
  <si>
    <t>Afvis bruger</t>
  </si>
  <si>
    <t>Hylkää käyttäjä</t>
  </si>
  <si>
    <t>Felhasználó elutasítása</t>
  </si>
  <si>
    <t>Avvis bruker</t>
  </si>
  <si>
    <t>Zrušiť používateľa</t>
  </si>
  <si>
    <t>Beskrivelse</t>
  </si>
  <si>
    <t>Kuvaus</t>
  </si>
  <si>
    <t>Leírás</t>
  </si>
  <si>
    <t>Fejltilstand</t>
  </si>
  <si>
    <t>Virhetila</t>
  </si>
  <si>
    <t>Meghibásodás üzemmód</t>
  </si>
  <si>
    <t>Feilmodus</t>
  </si>
  <si>
    <t>Spôsob zlyhania</t>
  </si>
  <si>
    <t>Kilde</t>
  </si>
  <si>
    <t>Lähde</t>
  </si>
  <si>
    <t>Forrás</t>
  </si>
  <si>
    <t>Ohjain</t>
  </si>
  <si>
    <t>Vezérlő</t>
  </si>
  <si>
    <t>Kontroller</t>
  </si>
  <si>
    <t>Riadiaca jednotka</t>
  </si>
  <si>
    <t>Koodi</t>
  </si>
  <si>
    <t>Motorfejlrapport</t>
  </si>
  <si>
    <t>Moottorin vikaraportti</t>
  </si>
  <si>
    <t>Motorhiba-jelentés</t>
  </si>
  <si>
    <t>Rapport om motorfeil</t>
  </si>
  <si>
    <t>Výkaz poruchy motora</t>
  </si>
  <si>
    <t>Oprettet</t>
  </si>
  <si>
    <t>Luotu</t>
  </si>
  <si>
    <t>Létrehozva</t>
  </si>
  <si>
    <t>Opprettet</t>
  </si>
  <si>
    <t>Vytvorené</t>
  </si>
  <si>
    <t>Fra</t>
  </si>
  <si>
    <t>Alku</t>
  </si>
  <si>
    <t>Feladó</t>
  </si>
  <si>
    <t>Z</t>
  </si>
  <si>
    <t>Til</t>
  </si>
  <si>
    <t>Kohde</t>
  </si>
  <si>
    <t>Címzett</t>
  </si>
  <si>
    <t>Resurssi</t>
  </si>
  <si>
    <t>Erőforrás</t>
  </si>
  <si>
    <t>Ressurs</t>
  </si>
  <si>
    <t>Køretøj og fejl</t>
  </si>
  <si>
    <t>Ajoneuvo ja vika</t>
  </si>
  <si>
    <t>Jármű és hiba</t>
  </si>
  <si>
    <t>Kjøretøy og feil</t>
  </si>
  <si>
    <t>Vozidlo a porucha</t>
  </si>
  <si>
    <t>Anden fejltælling</t>
  </si>
  <si>
    <t>Eri vikamäärä</t>
  </si>
  <si>
    <t>Eltérő hibaszám</t>
  </si>
  <si>
    <t>Forskjellig antall feil</t>
  </si>
  <si>
    <t>Počet rôznych porúch</t>
  </si>
  <si>
    <t>Motorfejl aktiv?</t>
  </si>
  <si>
    <t>Aktiivinen moottorivika?</t>
  </si>
  <si>
    <t>Motorhiba aktív?</t>
  </si>
  <si>
    <t>Motorfeil aktiv?</t>
  </si>
  <si>
    <t>Aktívna porucha motora?</t>
  </si>
  <si>
    <t>Motorfejl, telematikkilde</t>
  </si>
  <si>
    <t>Moottorivian telematiikkalähde</t>
  </si>
  <si>
    <t>Motorhiba telematikai forrása</t>
  </si>
  <si>
    <t>Telematikkilde for motorfeil</t>
  </si>
  <si>
    <t>Telematický zdroj poruchy motora</t>
  </si>
  <si>
    <t>Vis detaljer</t>
  </si>
  <si>
    <t>Näytä tiedot</t>
  </si>
  <si>
    <t>Részletek megtekintése</t>
  </si>
  <si>
    <t>Zobraziť podrobnosti</t>
  </si>
  <si>
    <t>Motorfejl</t>
  </si>
  <si>
    <t>Moottoriviat</t>
  </si>
  <si>
    <t>Motorhibák</t>
  </si>
  <si>
    <t>Motorfeil</t>
  </si>
  <si>
    <t>Poruchy motora</t>
  </si>
  <si>
    <t>Antal fejl</t>
  </si>
  <si>
    <t>Vikamäärä</t>
  </si>
  <si>
    <t>Hibakód</t>
  </si>
  <si>
    <t>Antall feil</t>
  </si>
  <si>
    <t>Počet porúch</t>
  </si>
  <si>
    <t>Fejlkoder</t>
  </si>
  <si>
    <t>Vikakoodit</t>
  </si>
  <si>
    <t>Hibakódok</t>
  </si>
  <si>
    <t>Feilkoder</t>
  </si>
  <si>
    <t>Kódy porúch</t>
  </si>
  <si>
    <t>Køretøjer med motorfejl</t>
  </si>
  <si>
    <t>Ajoneuvot, joissa on moottorivikoja</t>
  </si>
  <si>
    <t>Motorhibás járművek</t>
  </si>
  <si>
    <t>Kjøretøyer med motorfeil</t>
  </si>
  <si>
    <t>Vozidlá s poruchami motora</t>
  </si>
  <si>
    <t>Dage</t>
  </si>
  <si>
    <t>Päivät</t>
  </si>
  <si>
    <t>Napok</t>
  </si>
  <si>
    <t>Dager</t>
  </si>
  <si>
    <t>Rapporten over aktive motorfejl viser aktive motorfejl for alle køretøjer. Denne rapport kan bruges til proaktive vedligeholdelsesprogrammer.</t>
  </si>
  <si>
    <t>Aktiivisten moottorivikojen raportti näyttää kaikkien ajoneuvojen aktiiviset moottoriviat. Tätä raporttia voi hyödyntää ennaltaehkäisevissä huolto-ohjelmissa.</t>
  </si>
  <si>
    <t>Az Aktív motorhiba-jelentés minden járműre vonatkozóan megjeleníti az aktív motorhibákat. Ez a jelentés proaktív karbantartási programokhoz használható.</t>
  </si>
  <si>
    <t>Rapporten om at aktiv motor svikter viser aktive motorfeil for alle kjøretøyer. Denne rapporten kan brukes til proaktive vedlikeholdsprogrammer.</t>
  </si>
  <si>
    <t>Výkaz aktívnych porúch motora zobrazuje aktuálne poruchy motora pre všetky vozidlá. Tento výkaz možno použiť na proaktívne programy údržby.</t>
  </si>
  <si>
    <t>Vian tila</t>
  </si>
  <si>
    <t>Hiba állapota</t>
  </si>
  <si>
    <t>Feiltilstand</t>
  </si>
  <si>
    <t>Stav poruchy</t>
  </si>
  <si>
    <t>Antal fejlkoder</t>
  </si>
  <si>
    <t>Vikakoodimäärä</t>
  </si>
  <si>
    <t>Hibakódok száma</t>
  </si>
  <si>
    <t>Antall feilkoder</t>
  </si>
  <si>
    <t>Počet kódov porúch</t>
  </si>
  <si>
    <t>Ingen motorfejl registreret</t>
  </si>
  <si>
    <t>Ei tunnistettuja moottorivikoja</t>
  </si>
  <si>
    <t>Nem észlelhetők motorhibák</t>
  </si>
  <si>
    <t>Ingen motorfeil oppdaget</t>
  </si>
  <si>
    <t>Neboli zistené žiadne poruchy motora</t>
  </si>
  <si>
    <t>Fejlbeskrivelse</t>
  </si>
  <si>
    <t>Vian kuvaus</t>
  </si>
  <si>
    <t>Hiba leírása</t>
  </si>
  <si>
    <t>Beskrivelse av feil</t>
  </si>
  <si>
    <t>Opis poruchy</t>
  </si>
  <si>
    <t>Vaikutus komponenttiin</t>
  </si>
  <si>
    <t>Komponensre gyakorolt hatás</t>
  </si>
  <si>
    <t>Vplyv na komponent</t>
  </si>
  <si>
    <t>Anbefaling</t>
  </si>
  <si>
    <t>Suositus</t>
  </si>
  <si>
    <t>Javaslat</t>
  </si>
  <si>
    <t>Odporúčanie</t>
  </si>
  <si>
    <t>Alvorsgrad</t>
  </si>
  <si>
    <t>Vakavuus</t>
  </si>
  <si>
    <t>Súlyosság</t>
  </si>
  <si>
    <t>Závažnosť</t>
  </si>
  <si>
    <t>FaultDataRiskOfBreakdown</t>
  </si>
  <si>
    <t>**Risk of Breakdown</t>
  </si>
  <si>
    <t>Sanjaya ( Demo Database)</t>
  </si>
  <si>
    <t>**&lt;No User&gt;</t>
  </si>
  <si>
    <t>Demo - 19</t>
  </si>
  <si>
    <t>Vehicle, Company Group</t>
  </si>
  <si>
    <t>Vehicle</t>
  </si>
  <si>
    <t>b13</t>
  </si>
  <si>
    <t>Low priority warning light is on</t>
  </si>
  <si>
    <t>175</t>
  </si>
  <si>
    <t>Telematics device</t>
  </si>
  <si>
    <t>Demo - 20</t>
  </si>
  <si>
    <t>b14</t>
  </si>
  <si>
    <t>Demo - 21</t>
  </si>
  <si>
    <t>b15</t>
  </si>
  <si>
    <t>Demo - 22</t>
  </si>
  <si>
    <t>b16</t>
  </si>
  <si>
    <t>Demo - 23</t>
  </si>
  <si>
    <t>b17</t>
  </si>
  <si>
    <t>Alert: Collision limit for acceleration exceeded</t>
  </si>
  <si>
    <t>166</t>
  </si>
  <si>
    <t>Demo - 24</t>
  </si>
  <si>
    <t>b18</t>
  </si>
  <si>
    <t>Demo - 25</t>
  </si>
  <si>
    <t>b19</t>
  </si>
  <si>
    <t>Demo - 26</t>
  </si>
  <si>
    <t>Demo - 31</t>
  </si>
  <si>
    <t>b1F</t>
  </si>
  <si>
    <t>Demo - 32</t>
  </si>
  <si>
    <t>b20</t>
  </si>
  <si>
    <t>Demo - 33</t>
  </si>
  <si>
    <t>b21</t>
  </si>
  <si>
    <t>Demo - 34</t>
  </si>
  <si>
    <t>b22</t>
  </si>
  <si>
    <t>Demo - 39</t>
  </si>
  <si>
    <t>b27</t>
  </si>
  <si>
    <t>Telematics device fault: Check device installation as the accelerometer was disabled due to excessive data</t>
  </si>
  <si>
    <t>265</t>
  </si>
  <si>
    <t>Demo - 40</t>
  </si>
  <si>
    <t>b28</t>
  </si>
  <si>
    <t>Demo - 41</t>
  </si>
  <si>
    <t>b29</t>
  </si>
  <si>
    <t>Demo - 42</t>
  </si>
  <si>
    <t>b2A</t>
  </si>
  <si>
    <t>Demo - 43</t>
  </si>
  <si>
    <t>b2B</t>
  </si>
  <si>
    <t>Engine Faults</t>
  </si>
  <si>
    <t>Fault Count</t>
  </si>
  <si>
    <t>Fault Codes</t>
  </si>
  <si>
    <t>The Active Engine Faults Report displays active engine faults for all vehicles. This report can be used for proactive maintenance programs.</t>
  </si>
  <si>
    <t>No Engine Faults Detected</t>
  </si>
  <si>
    <t>From</t>
  </si>
  <si>
    <t>To</t>
  </si>
  <si>
    <t>Days</t>
  </si>
  <si>
    <t>Device</t>
  </si>
  <si>
    <t>Device Group</t>
  </si>
  <si>
    <t>Fault State</t>
  </si>
  <si>
    <t>Vehicle &amp; Fault</t>
  </si>
  <si>
    <t>Different Fault Count</t>
  </si>
  <si>
    <t>Engine Fault Active?</t>
  </si>
  <si>
    <t>Engine Fault Telematics Source</t>
  </si>
  <si>
    <t>Severity</t>
  </si>
  <si>
    <t>Fault Description</t>
  </si>
  <si>
    <t>Effect On Component</t>
  </si>
  <si>
    <t>Recommendation</t>
  </si>
  <si>
    <t>Risk of Breakdown</t>
  </si>
  <si>
    <t>Fault Code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</si>
</sst>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mmm\ dd\,\ yyyy"/>
    <numFmt numFmtId="170" formatCode="[$-409]mmm\ dd\,\ yyyy\ h:mm:ss\ AM/PM"/>
    <numFmt numFmtId="171" formatCode="[$-409]0;[$-409]\-0;[$-409];@"/>
    <numFmt numFmtId="172" formatCode="[$-409]mmmm\ d\,\ yyyy;@"/>
    <numFmt numFmtId="173" formatCode="[$-409]0.0"/>
    <numFmt numFmtId="174" formatCode="[$-409]mmm\ dd&quot;, &quot;yyyy"/>
  </numFmts>
  <fonts count="45">
    <font>
      <sz val="10"/>
      <name val="Arial"/>
      <family val="2"/>
    </font>
    <font>
      <b/>
      <sz val="7"/>
      <color indexed="8"/>
      <name val="Tahoma"/>
      <family val="2"/>
    </font>
    <font>
      <sz val="10"/>
      <name val="Arial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sz val="10"/>
      <name val="Segoe UI"/>
      <family val="2"/>
    </font>
    <font>
      <sz val="10"/>
      <name val="Arial"/>
      <family val="2"/>
    </font>
    <font>
      <sz val="12"/>
      <name val="Arial"/>
      <family val="2"/>
    </font>
    <font>
      <sz val="18"/>
      <color theme="0"/>
      <name val="Segoe UI"/>
      <family val="2"/>
    </font>
    <font>
      <sz val="11"/>
      <name val="Segoe UI"/>
      <family val="2"/>
    </font>
    <font>
      <sz val="12"/>
      <color theme="0"/>
      <name val="Segoe UI"/>
      <family val="2"/>
    </font>
    <font>
      <sz val="11"/>
      <color theme="0"/>
      <name val="Segoe UI"/>
      <family val="2"/>
    </font>
    <font>
      <b/>
      <sz val="14"/>
      <color theme="5" tint="-0.249977111117893"/>
      <name val="Calibri"/>
      <family val="2"/>
    </font>
    <font>
      <sz val="16"/>
      <color theme="3"/>
      <name val="Segoe UI"/>
      <family val="2"/>
    </font>
    <font>
      <sz val="16"/>
      <color theme="1"/>
      <name val="Segoe UI"/>
      <family val="2"/>
    </font>
    <font>
      <sz val="11"/>
      <color theme="1"/>
      <name val="Segoe UI"/>
      <family val="2"/>
    </font>
    <font>
      <sz val="16"/>
      <color theme="0"/>
      <name val="Segoe UI"/>
      <family val="2"/>
    </font>
    <font>
      <sz val="10"/>
      <color theme="0"/>
      <name val="Segoe UI"/>
      <family val="2"/>
    </font>
    <font>
      <sz val="10"/>
      <color theme="1"/>
      <name val="Segoe UI"/>
      <family val="2"/>
    </font>
    <font>
      <sz val="11"/>
      <name val="Segoe UI"/>
    </font>
    <font>
      <sz val="12"/>
      <name val="Segoe UI"/>
    </font>
    <font>
      <sz val="10"/>
      <name val="Arial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6F992B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1"/>
      <color rgb="FF00AEEF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A6A6A6"/>
      <name val="Segoe UI"/>
      <family val="2"/>
      <charset val="1"/>
    </font>
    <font>
      <b/>
      <sz val="7"/>
      <color rgb="FF000000"/>
      <name val="Tahoma"/>
      <family val="2"/>
      <charset val="1"/>
    </font>
    <font>
      <sz val="12"/>
      <color rgb="FFFFFFFF"/>
      <name val="Segoe UI"/>
      <family val="2"/>
      <charset val="1"/>
    </font>
    <font>
      <sz val="10"/>
      <name val="Noto Sans CJK SC"/>
      <family val="2"/>
      <charset val="1"/>
    </font>
    <font>
      <sz val="8"/>
      <name val="Arial"/>
      <family val="2"/>
    </font>
    <font>
      <sz val="12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96A6C"/>
        <bgColor rgb="FF808080"/>
      </patternFill>
    </fill>
    <fill>
      <patternFill patternType="solid">
        <fgColor rgb="FFFFFFFF"/>
        <bgColor rgb="FFF2F2F2"/>
      </patternFill>
    </fill>
    <fill>
      <patternFill patternType="solid">
        <fgColor rgb="FFC0C0C0"/>
        <bgColor rgb="FFCCCCFF"/>
      </patternFill>
    </fill>
    <fill>
      <patternFill patternType="solid">
        <fgColor rgb="FF25477B"/>
        <bgColor rgb="FF003366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10" borderId="0" applyNumberFormat="0"/>
    <xf numFmtId="0" fontId="4" fillId="0" borderId="0"/>
    <xf numFmtId="0" fontId="7" fillId="0" borderId="0" applyNumberFormat="0" applyAlignment="0"/>
    <xf numFmtId="0" fontId="8" fillId="10" borderId="0" applyNumberFormat="0"/>
    <xf numFmtId="169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  <xf numFmtId="169" fontId="5" fillId="13" borderId="0"/>
    <xf numFmtId="0" fontId="21" fillId="0" borderId="0" applyNumberFormat="0"/>
    <xf numFmtId="0" fontId="30" fillId="0" borderId="0"/>
    <xf numFmtId="174" fontId="31" fillId="16" borderId="0"/>
    <xf numFmtId="0" fontId="32" fillId="0" borderId="0"/>
    <xf numFmtId="0" fontId="33" fillId="0" borderId="0"/>
    <xf numFmtId="0" fontId="34" fillId="17" borderId="0"/>
    <xf numFmtId="0" fontId="35" fillId="0" borderId="0"/>
    <xf numFmtId="0" fontId="30" fillId="0" borderId="0" applyBorder="0" applyProtection="0">
      <alignment horizontal="left"/>
    </xf>
    <xf numFmtId="0" fontId="30" fillId="0" borderId="0" applyBorder="0" applyProtection="0"/>
    <xf numFmtId="0" fontId="30" fillId="0" borderId="0" applyBorder="0" applyProtection="0"/>
    <xf numFmtId="0" fontId="36" fillId="0" borderId="0" applyBorder="0" applyProtection="0"/>
    <xf numFmtId="0" fontId="36" fillId="0" borderId="0" applyBorder="0" applyProtection="0">
      <alignment horizontal="left"/>
    </xf>
    <xf numFmtId="0" fontId="30" fillId="0" borderId="0" applyBorder="0" applyProtection="0"/>
    <xf numFmtId="0" fontId="37" fillId="0" borderId="0"/>
    <xf numFmtId="0" fontId="32" fillId="17" borderId="0"/>
    <xf numFmtId="174" fontId="35" fillId="17" borderId="0"/>
    <xf numFmtId="0" fontId="32" fillId="0" borderId="0"/>
    <xf numFmtId="0" fontId="38" fillId="0" borderId="0"/>
    <xf numFmtId="0" fontId="39" fillId="0" borderId="0" applyBorder="0" applyProtection="0"/>
  </cellStyleXfs>
  <cellXfs count="91">
    <xf numFmtId="0" fontId="0" fillId="0" borderId="0" xfId="0"/>
    <xf numFmtId="0" fontId="1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4" fillId="0" borderId="0" xfId="0" applyFont="1"/>
    <xf numFmtId="0" fontId="18" fillId="0" borderId="0" xfId="0" applyFont="1"/>
    <xf numFmtId="169" fontId="19" fillId="11" borderId="0" xfId="15" applyNumberFormat="1" applyFont="1" applyFill="1" applyAlignment="1">
      <alignment horizontal="center"/>
    </xf>
    <xf numFmtId="0" fontId="18" fillId="0" borderId="0" xfId="15" applyFont="1"/>
    <xf numFmtId="170" fontId="18" fillId="0" borderId="0" xfId="15" applyNumberFormat="1" applyFont="1" applyAlignment="1">
      <alignment horizontal="left"/>
    </xf>
    <xf numFmtId="171" fontId="18" fillId="0" borderId="0" xfId="15" applyNumberFormat="1" applyFont="1"/>
    <xf numFmtId="0" fontId="18" fillId="0" borderId="0" xfId="15" applyFont="1" applyAlignment="1">
      <alignment horizontal="left"/>
    </xf>
    <xf numFmtId="0" fontId="1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7" fillId="11" borderId="0" xfId="0" applyFont="1" applyFill="1" applyAlignment="1">
      <alignment horizontal="left" vertical="top"/>
    </xf>
    <xf numFmtId="0" fontId="17" fillId="11" borderId="0" xfId="0" applyFont="1" applyFill="1" applyAlignment="1">
      <alignment horizontal="center"/>
    </xf>
    <xf numFmtId="0" fontId="17" fillId="11" borderId="0" xfId="0" applyFont="1" applyFill="1"/>
    <xf numFmtId="0" fontId="22" fillId="0" borderId="0" xfId="23" applyFont="1" applyAlignment="1">
      <alignment horizontal="left"/>
    </xf>
    <xf numFmtId="169" fontId="22" fillId="0" borderId="0" xfId="15" applyNumberFormat="1" applyFont="1" applyAlignment="1">
      <alignment horizontal="center"/>
    </xf>
    <xf numFmtId="0" fontId="23" fillId="0" borderId="0" xfId="0" applyFont="1" applyAlignment="1">
      <alignment horizontal="center"/>
    </xf>
    <xf numFmtId="173" fontId="23" fillId="0" borderId="0" xfId="0" applyNumberFormat="1" applyFont="1" applyAlignment="1">
      <alignment horizontal="center"/>
    </xf>
    <xf numFmtId="0" fontId="23" fillId="0" borderId="0" xfId="0" applyFont="1"/>
    <xf numFmtId="0" fontId="17" fillId="10" borderId="0" xfId="0" applyFont="1" applyFill="1" applyAlignment="1">
      <alignment horizontal="center"/>
    </xf>
    <xf numFmtId="0" fontId="17" fillId="10" borderId="0" xfId="0" applyFont="1" applyFill="1"/>
    <xf numFmtId="172" fontId="17" fillId="10" borderId="0" xfId="22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0" fontId="24" fillId="0" borderId="0" xfId="0" applyFont="1"/>
    <xf numFmtId="169" fontId="24" fillId="0" borderId="0" xfId="0" applyNumberFormat="1" applyFont="1" applyAlignment="1">
      <alignment horizontal="center"/>
    </xf>
    <xf numFmtId="0" fontId="18" fillId="12" borderId="2" xfId="21" applyFont="1" applyFill="1" applyBorder="1" applyAlignment="1">
      <alignment horizontal="center" vertical="center"/>
    </xf>
    <xf numFmtId="169" fontId="18" fillId="12" borderId="2" xfId="21" applyNumberFormat="1" applyFont="1" applyFill="1" applyBorder="1" applyAlignment="1">
      <alignment horizontal="center" vertical="center"/>
    </xf>
    <xf numFmtId="1" fontId="18" fillId="12" borderId="2" xfId="21" applyNumberFormat="1" applyFont="1" applyFill="1" applyBorder="1" applyAlignment="1">
      <alignment horizontal="center" vertical="center"/>
    </xf>
    <xf numFmtId="0" fontId="19" fillId="11" borderId="0" xfId="20" applyFont="1" applyFill="1" applyAlignment="1"/>
    <xf numFmtId="0" fontId="19" fillId="11" borderId="0" xfId="20" applyFont="1" applyFill="1" applyAlignment="1">
      <alignment horizontal="left"/>
    </xf>
    <xf numFmtId="0" fontId="17" fillId="11" borderId="0" xfId="0" applyFont="1" applyFill="1" applyAlignment="1">
      <alignment horizontal="left"/>
    </xf>
    <xf numFmtId="173" fontId="23" fillId="0" borderId="0" xfId="0" applyNumberFormat="1" applyFont="1" applyAlignment="1">
      <alignment horizontal="left"/>
    </xf>
    <xf numFmtId="172" fontId="17" fillId="10" borderId="0" xfId="22" applyNumberFormat="1" applyFont="1" applyFill="1" applyAlignment="1">
      <alignment horizontal="left"/>
    </xf>
    <xf numFmtId="173" fontId="24" fillId="0" borderId="0" xfId="0" applyNumberFormat="1" applyFont="1" applyAlignment="1">
      <alignment horizontal="left"/>
    </xf>
    <xf numFmtId="169" fontId="24" fillId="0" borderId="0" xfId="0" applyNumberFormat="1" applyFont="1" applyAlignment="1">
      <alignment horizontal="left"/>
    </xf>
    <xf numFmtId="171" fontId="17" fillId="11" borderId="0" xfId="0" applyNumberFormat="1" applyFont="1" applyFill="1"/>
    <xf numFmtId="171" fontId="23" fillId="0" borderId="0" xfId="0" applyNumberFormat="1" applyFont="1" applyAlignment="1">
      <alignment horizontal="center"/>
    </xf>
    <xf numFmtId="171" fontId="17" fillId="10" borderId="0" xfId="22" applyNumberFormat="1" applyFont="1" applyFill="1" applyAlignment="1">
      <alignment horizontal="center"/>
    </xf>
    <xf numFmtId="171" fontId="24" fillId="0" borderId="0" xfId="0" applyNumberFormat="1" applyFont="1" applyAlignment="1">
      <alignment horizontal="center"/>
    </xf>
    <xf numFmtId="171" fontId="18" fillId="0" borderId="0" xfId="0" applyNumberFormat="1" applyFont="1"/>
    <xf numFmtId="171" fontId="19" fillId="11" borderId="0" xfId="20" applyNumberFormat="1" applyFont="1" applyFill="1" applyAlignment="1"/>
    <xf numFmtId="171" fontId="14" fillId="0" borderId="0" xfId="0" applyNumberFormat="1" applyFont="1"/>
    <xf numFmtId="1" fontId="17" fillId="11" borderId="0" xfId="0" applyNumberFormat="1" applyFont="1" applyFill="1" applyAlignment="1">
      <alignment horizontal="left"/>
    </xf>
    <xf numFmtId="1" fontId="23" fillId="0" borderId="0" xfId="0" applyNumberFormat="1" applyFont="1" applyAlignment="1">
      <alignment horizontal="left"/>
    </xf>
    <xf numFmtId="1" fontId="17" fillId="10" borderId="0" xfId="22" applyNumberFormat="1" applyFont="1" applyFill="1" applyAlignment="1">
      <alignment horizontal="left"/>
    </xf>
    <xf numFmtId="1" fontId="24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left"/>
    </xf>
    <xf numFmtId="1" fontId="19" fillId="11" borderId="0" xfId="20" applyNumberFormat="1" applyFont="1" applyFill="1" applyAlignment="1">
      <alignment horizontal="left"/>
    </xf>
    <xf numFmtId="1" fontId="18" fillId="0" borderId="0" xfId="15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3" fillId="0" borderId="9" xfId="0" applyFont="1" applyBorder="1"/>
    <xf numFmtId="0" fontId="18" fillId="15" borderId="10" xfId="0" applyFont="1" applyFill="1" applyBorder="1" applyAlignment="1">
      <alignment vertical="top" wrapText="1"/>
    </xf>
    <xf numFmtId="0" fontId="18" fillId="15" borderId="11" xfId="0" applyFont="1" applyFill="1" applyBorder="1" applyAlignment="1">
      <alignment vertical="top" wrapText="1"/>
    </xf>
    <xf numFmtId="0" fontId="18" fillId="15" borderId="12" xfId="0" applyFont="1" applyFill="1" applyBorder="1" applyAlignment="1">
      <alignment vertical="top" wrapText="1"/>
    </xf>
    <xf numFmtId="0" fontId="2" fillId="0" borderId="0" xfId="0" applyFont="1"/>
    <xf numFmtId="0" fontId="20" fillId="14" borderId="0" xfId="21" applyFont="1" applyFill="1" applyAlignment="1">
      <alignment horizontal="center" vertical="center"/>
    </xf>
    <xf numFmtId="169" fontId="18" fillId="12" borderId="0" xfId="21" applyNumberFormat="1" applyFont="1" applyFill="1" applyAlignment="1">
      <alignment horizontal="center" vertical="center"/>
    </xf>
    <xf numFmtId="1" fontId="18" fillId="12" borderId="0" xfId="21" applyNumberFormat="1" applyFont="1" applyFill="1" applyAlignment="1">
      <alignment horizontal="center" vertical="center"/>
    </xf>
    <xf numFmtId="0" fontId="28" fillId="0" borderId="0" xfId="0" applyFont="1"/>
    <xf numFmtId="0" fontId="29" fillId="0" borderId="0" xfId="0" pivotButton="1" applyFont="1"/>
    <xf numFmtId="0" fontId="29" fillId="0" borderId="0" xfId="0" applyFont="1" applyAlignment="1">
      <alignment horizontal="center"/>
    </xf>
    <xf numFmtId="0" fontId="29" fillId="0" borderId="0" xfId="0" applyFont="1"/>
    <xf numFmtId="0" fontId="41" fillId="19" borderId="0" xfId="41" applyFont="1" applyFill="1" applyBorder="1" applyAlignment="1" applyProtection="1">
      <alignment vertical="top" wrapText="1"/>
    </xf>
    <xf numFmtId="0" fontId="42" fillId="0" borderId="0" xfId="0" applyFont="1"/>
    <xf numFmtId="0" fontId="0" fillId="0" borderId="0" xfId="0" applyAlignment="1">
      <alignment wrapText="1"/>
    </xf>
    <xf numFmtId="0" fontId="1" fillId="9" borderId="0" xfId="0" applyFont="1" applyFill="1" applyAlignment="1">
      <alignment horizontal="center" wrapText="1"/>
    </xf>
    <xf numFmtId="0" fontId="40" fillId="18" borderId="13" xfId="0" applyFont="1" applyFill="1" applyBorder="1" applyAlignment="1">
      <alignment horizontal="center" wrapText="1"/>
    </xf>
    <xf numFmtId="0" fontId="40" fillId="18" borderId="0" xfId="0" applyFont="1" applyFill="1" applyAlignment="1">
      <alignment horizontal="center" wrapText="1"/>
    </xf>
    <xf numFmtId="0" fontId="20" fillId="14" borderId="2" xfId="21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left" vertical="top" wrapText="1"/>
    </xf>
    <xf numFmtId="0" fontId="18" fillId="15" borderId="0" xfId="0" applyFont="1" applyFill="1" applyAlignment="1">
      <alignment horizontal="left" vertical="top" wrapText="1"/>
    </xf>
    <xf numFmtId="0" fontId="18" fillId="15" borderId="9" xfId="0" applyFont="1" applyFill="1" applyBorder="1" applyAlignment="1">
      <alignment horizontal="left" vertical="top" wrapText="1"/>
    </xf>
    <xf numFmtId="0" fontId="18" fillId="15" borderId="5" xfId="0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20" fillId="14" borderId="3" xfId="21" applyFont="1" applyFill="1" applyBorder="1" applyAlignment="1">
      <alignment horizontal="center" vertical="center"/>
    </xf>
    <xf numFmtId="0" fontId="20" fillId="14" borderId="4" xfId="21" applyFont="1" applyFill="1" applyBorder="1" applyAlignment="1">
      <alignment horizontal="center" vertical="center"/>
    </xf>
    <xf numFmtId="173" fontId="24" fillId="0" borderId="0" xfId="0" applyNumberFormat="1" applyFont="1" applyAlignment="1">
      <alignment horizontal="center"/>
    </xf>
    <xf numFmtId="0" fontId="28" fillId="0" borderId="0" xfId="0" applyNumberFormat="1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Creation DateTime" xfId="22" xr:uid="{00000000-0005-0000-0000-00000C000000}"/>
    <cellStyle name="Geotab Report Creation DateTime 2" xfId="25" xr:uid="{00000000-0005-0000-0000-00000D000000}"/>
    <cellStyle name="Geotab Report Field Name" xfId="21" xr:uid="{00000000-0005-0000-0000-00000E000000}"/>
    <cellStyle name="Geotab Report Field Name 2" xfId="26" xr:uid="{00000000-0005-0000-0000-00000F000000}"/>
    <cellStyle name="Geotab Report Name" xfId="23" xr:uid="{00000000-0005-0000-0000-000010000000}"/>
    <cellStyle name="Geotab Report Name 2" xfId="27" xr:uid="{00000000-0005-0000-0000-000011000000}"/>
    <cellStyle name="Heading" xfId="13" xr:uid="{00000000-0005-0000-0000-000012000000}"/>
    <cellStyle name="Heading 3 2" xfId="28" xr:uid="{00000000-0005-0000-0000-000013000000}"/>
    <cellStyle name="Normal" xfId="0" builtinId="0" customBuiltin="1"/>
    <cellStyle name="Normal 2" xfId="24" xr:uid="{00000000-0005-0000-0000-000015000000}"/>
    <cellStyle name="Normal 2 2" xfId="14" xr:uid="{00000000-0005-0000-0000-000016000000}"/>
    <cellStyle name="Normal 2 2 2" xfId="29" xr:uid="{00000000-0005-0000-0000-000017000000}"/>
    <cellStyle name="Pivot Table Category" xfId="30" xr:uid="{00000000-0005-0000-0000-000018000000}"/>
    <cellStyle name="Pivot Table Corner" xfId="31" xr:uid="{00000000-0005-0000-0000-000019000000}"/>
    <cellStyle name="Pivot Table Field" xfId="32" xr:uid="{00000000-0005-0000-0000-00001A000000}"/>
    <cellStyle name="Pivot Table Result" xfId="33" xr:uid="{00000000-0005-0000-0000-00001B000000}"/>
    <cellStyle name="Pivot Table Title" xfId="34" xr:uid="{00000000-0005-0000-0000-00001C000000}"/>
    <cellStyle name="Pivot Table Value" xfId="35" xr:uid="{00000000-0005-0000-0000-00001D000000}"/>
    <cellStyle name="Report Body" xfId="15" xr:uid="{00000000-0005-0000-0000-00001E000000}"/>
    <cellStyle name="Report Body 2" xfId="36" xr:uid="{00000000-0005-0000-0000-00001F000000}"/>
    <cellStyle name="Report Column Header" xfId="16" xr:uid="{00000000-0005-0000-0000-000020000000}"/>
    <cellStyle name="Report Column Header 2" xfId="37" xr:uid="{00000000-0005-0000-0000-000021000000}"/>
    <cellStyle name="Report Creation DateTime" xfId="17" xr:uid="{00000000-0005-0000-0000-000022000000}"/>
    <cellStyle name="Report Creation DateTime 2" xfId="38" xr:uid="{00000000-0005-0000-0000-000023000000}"/>
    <cellStyle name="Report Field Name" xfId="18" xr:uid="{00000000-0005-0000-0000-000024000000}"/>
    <cellStyle name="Report Field Name 2" xfId="39" xr:uid="{00000000-0005-0000-0000-000025000000}"/>
    <cellStyle name="Report Name" xfId="19" xr:uid="{00000000-0005-0000-0000-000026000000}"/>
    <cellStyle name="Report Name 2" xfId="40" xr:uid="{00000000-0005-0000-0000-000027000000}"/>
    <cellStyle name="StandardReportHeading" xfId="20" xr:uid="{00000000-0005-0000-0000-000028000000}"/>
    <cellStyle name="StandardReportHeading 2" xfId="41" xr:uid="{00000000-0005-0000-0000-000029000000}"/>
  </cellStyles>
  <dxfs count="116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numFmt numFmtId="175" formatCode="[$-409][h]&quot;h, &quot;m&quot;m&quot;"/>
    </dxf>
    <dxf>
      <numFmt numFmtId="176" formatCode="[$-409][m]&quot;m&quot;"/>
    </dxf>
    <dxf>
      <font>
        <color theme="0" tint="-0.499984740745262"/>
      </font>
      <numFmt numFmtId="177" formatCode="[$-409]s&quot;s&quot;"/>
    </dxf>
    <dxf>
      <numFmt numFmtId="175" formatCode="[$-409][h]&quot;h, &quot;m&quot;m&quot;"/>
    </dxf>
    <dxf>
      <numFmt numFmtId="176" formatCode="[$-409][m]&quot;m&quot;"/>
    </dxf>
    <dxf>
      <font>
        <color theme="0" tint="-0.499984740745262"/>
      </font>
      <numFmt numFmtId="177" formatCode="[$-409]s&quot;s&quot;"/>
    </dxf>
    <dxf>
      <numFmt numFmtId="175" formatCode="[$-409][h]&quot;h, &quot;m&quot;m&quot;"/>
    </dxf>
    <dxf>
      <numFmt numFmtId="176" formatCode="[$-409][m]&quot;m&quot;"/>
    </dxf>
    <dxf>
      <font>
        <color theme="0" tint="-0.499984740745262"/>
      </font>
      <numFmt numFmtId="177" formatCode="[$-409]s&quot;s&quot;"/>
    </dxf>
    <dxf>
      <numFmt numFmtId="175" formatCode="[$-409][h]&quot;h, &quot;m&quot;m&quot;"/>
    </dxf>
    <dxf>
      <numFmt numFmtId="176" formatCode="[$-409][m]&quot;m&quot;"/>
    </dxf>
    <dxf>
      <font>
        <color theme="0" tint="-0.499984740745262"/>
      </font>
      <numFmt numFmtId="177" formatCode="[$-409]s&quot;s&quot;"/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numFmt numFmtId="175" formatCode="[$-409][h]&quot;h, &quot;m&quot;m&quot;"/>
    </dxf>
    <dxf>
      <numFmt numFmtId="176" formatCode="[$-409][m]&quot;m&quot;"/>
    </dxf>
    <dxf>
      <font>
        <color theme="0" tint="-0.499984740745262"/>
      </font>
      <numFmt numFmtId="177" formatCode="[$-409]s&quot;s&quot;"/>
    </dxf>
    <dxf>
      <numFmt numFmtId="175" formatCode="[$-409][h]&quot;h, &quot;m&quot;m&quot;"/>
    </dxf>
    <dxf>
      <numFmt numFmtId="176" formatCode="[$-409][m]&quot;m&quot;"/>
    </dxf>
    <dxf>
      <font>
        <color theme="0" tint="-0.499984740745262"/>
      </font>
      <numFmt numFmtId="177" formatCode="[$-409]s&quot;s&quot;"/>
    </dxf>
    <dxf>
      <alignment horizontal="center"/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4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4"/>
        </bottom>
      </border>
    </dxf>
    <dxf>
      <font>
        <b/>
        <i val="0"/>
        <color theme="1"/>
      </font>
      <fill>
        <patternFill>
          <bgColor theme="0" tint="-0.14996795556505021"/>
        </patternFill>
      </fill>
      <border>
        <top style="thin">
          <color theme="4"/>
        </top>
        <bottom style="thin">
          <color theme="4"/>
        </bottom>
      </border>
    </dxf>
    <dxf>
      <fill>
        <patternFill>
          <fgColor theme="8"/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 patternType="solid">
          <fgColor theme="5" tint="0.79982909634693444"/>
          <bgColor theme="0" tint="-4.9989318521683403E-2"/>
        </patternFill>
      </fill>
      <border>
        <top style="thin">
          <color theme="2" tint="0.59996337778862885"/>
        </top>
        <bottom style="thin">
          <color theme="2" tint="0.59996337778862885"/>
        </bottom>
      </border>
    </dxf>
    <dxf>
      <font>
        <b/>
        <i val="0"/>
        <color theme="0"/>
      </font>
      <fill>
        <patternFill patternType="solid">
          <fgColor theme="5" tint="0.79985961485641044"/>
          <bgColor theme="2"/>
        </patternFill>
      </fill>
      <border>
        <bottom style="thin">
          <color theme="4"/>
        </bottom>
      </border>
    </dxf>
    <dxf>
      <font>
        <color auto="1"/>
      </font>
    </dxf>
  </dxfs>
  <tableStyles count="1" defaultTableStyle="TableStyleMedium9" defaultPivotStyle="PivotStyleLight16">
    <tableStyle name="PivotStyleLightCustom" table="0" count="8" xr9:uid="{00000000-0011-0000-FFFF-FFFF00000000}">
      <tableStyleElement type="wholeTable" dxfId="115"/>
      <tableStyleElement type="headerRow" dxfId="114"/>
      <tableStyleElement type="totalRow" dxfId="113"/>
      <tableStyleElement type="firstRowStripe" dxfId="112"/>
      <tableStyleElement type="secondRowStripe" dxfId="111"/>
      <tableStyleElement type="firstSubtotalRow" dxfId="110"/>
      <tableStyleElement type="pageFieldLabels" dxfId="109"/>
      <tableStyleElement type="pageFieldValues" dxfId="108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[Active Engine Faults_20260221_225936.xlsx]Graph!PivotTable1</c:name>
    <c:fmtId val="8"/>
  </c:pivotSource>
  <c:chart>
    <c:title>
      <c:tx>
        <c:strRef>
          <c:f>'Active Faults Summary'!$S$3</c:f>
          <c:strCache>
            <c:ptCount val="1"/>
            <c:pt idx="0">
              <c:v>Engine Faults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ysClr val="windowText" lastClr="000000"/>
              </a:solidFill>
              <a:latin typeface="Segoe UI" panose="020B0502040204020203" pitchFamily="34" charset="0"/>
              <a:ea typeface="+mj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15875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rke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15875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rke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15875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rke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222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5">
                  <a:lumMod val="75000"/>
                </a:schemeClr>
              </a:solidFill>
              <a:round/>
            </a:ln>
            <a:effectLst/>
          </c:spPr>
        </c:marker>
      </c:pivotFmt>
      <c:pivotFmt>
        <c:idx val="16"/>
        <c:spPr>
          <a:solidFill>
            <a:schemeClr val="tx2">
              <a:lumMod val="40000"/>
              <a:lumOff val="60000"/>
            </a:schemeClr>
          </a:solidFill>
          <a:ln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222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2">
                <a:lumMod val="60000"/>
                <a:lumOff val="40000"/>
              </a:schemeClr>
            </a:solidFill>
            <a:ln w="15875">
              <a:solidFill>
                <a:schemeClr val="tx2">
                  <a:lumMod val="7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2">
              <a:lumMod val="40000"/>
              <a:lumOff val="60000"/>
            </a:schemeClr>
          </a:solidFill>
          <a:ln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222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2">
                <a:lumMod val="60000"/>
                <a:lumOff val="40000"/>
              </a:schemeClr>
            </a:solidFill>
            <a:ln w="15875">
              <a:solidFill>
                <a:schemeClr val="tx2">
                  <a:lumMod val="7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tx2">
              <a:lumMod val="40000"/>
              <a:lumOff val="60000"/>
            </a:schemeClr>
          </a:solidFill>
          <a:ln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222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2">
                <a:lumMod val="60000"/>
                <a:lumOff val="40000"/>
              </a:schemeClr>
            </a:solidFill>
            <a:ln w="15875">
              <a:solidFill>
                <a:schemeClr val="tx2">
                  <a:lumMod val="7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tx2">
              <a:lumMod val="40000"/>
              <a:lumOff val="60000"/>
            </a:schemeClr>
          </a:solidFill>
          <a:ln>
            <a:solidFill>
              <a:schemeClr val="tx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222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2">
                <a:lumMod val="40000"/>
                <a:lumOff val="60000"/>
              </a:schemeClr>
            </a:solidFill>
            <a:ln w="15875">
              <a:solidFill>
                <a:schemeClr val="tx2">
                  <a:lumMod val="7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  <c:spPr>
          <a:solidFill>
            <a:schemeClr val="tx2">
              <a:lumMod val="40000"/>
              <a:lumOff val="60000"/>
            </a:schemeClr>
          </a:solidFill>
          <a:ln>
            <a:solidFill>
              <a:schemeClr val="tx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tx2">
              <a:lumMod val="40000"/>
              <a:lumOff val="60000"/>
            </a:schemeClr>
          </a:solidFill>
          <a:ln>
            <a:solidFill>
              <a:schemeClr val="tx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'Active Faults Summary'!$S$2</c:f>
              <c:strCache>
                <c:ptCount val="1"/>
                <c:pt idx="0">
                  <c:v>Fault Count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'Active Faults Summary'!$S$2</c:f>
              <c:strCache>
                <c:ptCount val="17"/>
                <c:pt idx="0">
                  <c:v>Demo - 42</c:v>
                </c:pt>
                <c:pt idx="1">
                  <c:v>Demo - 34</c:v>
                </c:pt>
                <c:pt idx="2">
                  <c:v>Demo - 32</c:v>
                </c:pt>
                <c:pt idx="3">
                  <c:v>Demo - 20</c:v>
                </c:pt>
                <c:pt idx="4">
                  <c:v>Demo - 40</c:v>
                </c:pt>
                <c:pt idx="5">
                  <c:v>Demo - 21</c:v>
                </c:pt>
                <c:pt idx="6">
                  <c:v>Demo - 19</c:v>
                </c:pt>
                <c:pt idx="7">
                  <c:v>Demo - 22</c:v>
                </c:pt>
                <c:pt idx="8">
                  <c:v>Demo - 33</c:v>
                </c:pt>
                <c:pt idx="9">
                  <c:v>Demo - 23</c:v>
                </c:pt>
                <c:pt idx="10">
                  <c:v>Demo - 39</c:v>
                </c:pt>
                <c:pt idx="11">
                  <c:v>Demo - 24</c:v>
                </c:pt>
                <c:pt idx="12">
                  <c:v>Demo - 41</c:v>
                </c:pt>
                <c:pt idx="13">
                  <c:v>Demo - 25</c:v>
                </c:pt>
                <c:pt idx="14">
                  <c:v>Demo - 43</c:v>
                </c:pt>
                <c:pt idx="15">
                  <c:v>Demo - 26</c:v>
                </c:pt>
                <c:pt idx="16">
                  <c:v>Demo - 31</c:v>
                </c:pt>
              </c:strCache>
            </c:strRef>
          </c:cat>
          <c:val>
            <c:numRef>
              <c:f>'Active Faults Summary'!$S$2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2FE7-4BF9-A09C-76B7FE826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-29990608"/>
        <c:axId val="-29989520"/>
      </c:barChart>
      <c:lineChart>
        <c:grouping val="stacked"/>
        <c:varyColors val="0"/>
        <c:ser>
          <c:idx val="1"/>
          <c:order val="1"/>
          <c:tx>
            <c:strRef>
              <c:f>'Active Faults Summary'!$S$2</c:f>
              <c:strCache>
                <c:ptCount val="1"/>
                <c:pt idx="0">
                  <c:v>Fault Code Count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2">
                  <a:lumMod val="40000"/>
                  <a:lumOff val="60000"/>
                </a:schemeClr>
              </a:solidFill>
              <a:ln w="1587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'Active Faults Summary'!$S$2</c:f>
              <c:strCache>
                <c:ptCount val="17"/>
                <c:pt idx="0">
                  <c:v>Demo - 42</c:v>
                </c:pt>
                <c:pt idx="1">
                  <c:v>Demo - 34</c:v>
                </c:pt>
                <c:pt idx="2">
                  <c:v>Demo - 32</c:v>
                </c:pt>
                <c:pt idx="3">
                  <c:v>Demo - 20</c:v>
                </c:pt>
                <c:pt idx="4">
                  <c:v>Demo - 40</c:v>
                </c:pt>
                <c:pt idx="5">
                  <c:v>Demo - 21</c:v>
                </c:pt>
                <c:pt idx="6">
                  <c:v>Demo - 19</c:v>
                </c:pt>
                <c:pt idx="7">
                  <c:v>Demo - 22</c:v>
                </c:pt>
                <c:pt idx="8">
                  <c:v>Demo - 33</c:v>
                </c:pt>
                <c:pt idx="9">
                  <c:v>Demo - 23</c:v>
                </c:pt>
                <c:pt idx="10">
                  <c:v>Demo - 39</c:v>
                </c:pt>
                <c:pt idx="11">
                  <c:v>Demo - 24</c:v>
                </c:pt>
                <c:pt idx="12">
                  <c:v>Demo - 41</c:v>
                </c:pt>
                <c:pt idx="13">
                  <c:v>Demo - 25</c:v>
                </c:pt>
                <c:pt idx="14">
                  <c:v>Demo - 43</c:v>
                </c:pt>
                <c:pt idx="15">
                  <c:v>Demo - 26</c:v>
                </c:pt>
                <c:pt idx="16">
                  <c:v>Demo - 31</c:v>
                </c:pt>
              </c:strCache>
            </c:strRef>
          </c:cat>
          <c:val>
            <c:numRef>
              <c:f>'Active Faults Summary'!$S$2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B-462A-87F3-62B82A71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9991696"/>
        <c:axId val="-29987888"/>
      </c:lineChart>
      <c:catAx>
        <c:axId val="-2999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alpha val="30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-29989520"/>
        <c:crosses val="autoZero"/>
        <c:auto val="1"/>
        <c:lblAlgn val="ctr"/>
        <c:lblOffset val="100"/>
        <c:noMultiLvlLbl val="0"/>
      </c:catAx>
      <c:valAx>
        <c:axId val="-29989520"/>
        <c:scaling>
          <c:orientation val="minMax"/>
        </c:scaling>
        <c:delete val="0"/>
        <c:axPos val="l"/>
        <c:title>
          <c:tx>
            <c:strRef>
              <c:f>'Active Faults Summary'!$S$2</c:f>
              <c:strCache>
                <c:ptCount val="1"/>
                <c:pt idx="0">
                  <c:v>Fault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-29990608"/>
        <c:crosses val="autoZero"/>
        <c:crossBetween val="between"/>
        <c:minorUnit val="1"/>
      </c:valAx>
      <c:valAx>
        <c:axId val="-29987888"/>
        <c:scaling>
          <c:orientation val="minMax"/>
        </c:scaling>
        <c:delete val="0"/>
        <c:axPos val="r"/>
        <c:title>
          <c:tx>
            <c:strRef>
              <c:f>'Active Faults Summary'!$T$2</c:f>
              <c:strCache>
                <c:ptCount val="1"/>
                <c:pt idx="0">
                  <c:v>Fault Codes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-29991696"/>
        <c:crosses val="max"/>
        <c:crossBetween val="between"/>
        <c:minorUnit val="1"/>
      </c:valAx>
      <c:catAx>
        <c:axId val="-29991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29987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363855</xdr:colOff>
      <xdr:row>8</xdr:row>
      <xdr:rowOff>10795</xdr:rowOff>
    </xdr:from>
    <xdr:to>
      <xdr:col>16</xdr:col>
      <xdr:colOff>325755</xdr:colOff>
      <xdr:row>20</xdr:row>
      <xdr:rowOff>135255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9AF3B6C-F8E3-4437-9493-4DE54A429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104775</xdr:colOff>
      <xdr:row>2</xdr:row>
      <xdr:rowOff>106680</xdr:rowOff>
    </xdr:from>
    <xdr:to>
      <xdr:col>7</xdr:col>
      <xdr:colOff>447592</xdr:colOff>
      <xdr:row>4</xdr:row>
      <xdr:rowOff>2253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346CFC40-9415-45A0-BBAB-AF52CF96E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3825" y="754380"/>
          <a:ext cx="342817" cy="33372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jaya" refreshedDate="46074.960146759258" missingItemsLimit="0" createdVersion="4" refreshedVersion="8" recordCount="302" xr:uid="{00000000-000A-0000-FFFF-FFFF07000000}">
  <cacheSource type="worksheet">
    <worksheetSource name="AllData"/>
  </cacheSource>
  <cacheFields count="20">
    <cacheField name="Device" numFmtId="0">
      <sharedItems count="17">
        <s v="Demo - 19"/>
        <s v="Demo - 20"/>
        <s v="Demo - 21"/>
        <s v="Demo - 22"/>
        <s v="Demo - 23"/>
        <s v="Demo - 24"/>
        <s v="Demo - 25"/>
        <s v="Demo - 26"/>
        <s v="Demo - 31"/>
        <s v="Demo - 32"/>
        <s v="Demo - 33"/>
        <s v="Demo - 34"/>
        <s v="Demo - 39"/>
        <s v="Demo - 40"/>
        <s v="Demo - 41"/>
        <s v="Demo - 42"/>
        <s v="Demo - 43"/>
      </sharedItems>
    </cacheField>
    <cacheField name="Device Group" numFmtId="0">
      <sharedItems count="1">
        <s v="Vehicle, Company Group"/>
      </sharedItems>
    </cacheField>
    <cacheField name="Device ID" numFmtId="0">
      <sharedItems/>
    </cacheField>
    <cacheField name="Date" numFmtId="170">
      <sharedItems containsSemiMixedTypes="0" containsNonDate="0" containsDate="1" containsString="0" minDate="2026-01-31T13:45:32" maxDate="2026-02-21T09:58:27"/>
    </cacheField>
    <cacheField name="ValidDateNum" numFmtId="1">
      <sharedItems containsSemiMixedTypes="0" containsString="0" containsNumber="1" containsInteger="1" minValue="0" maxValue="0"/>
    </cacheField>
    <cacheField name="Description" numFmtId="0">
      <sharedItems count="3">
        <s v="Low priority warning light is on"/>
        <s v="Alert: Collision limit for acceleration exceeded"/>
        <s v="Telematics device fault: Check device installation as the accelerometer was disabled due to excessive data"/>
      </sharedItems>
    </cacheField>
    <cacheField name="Vehicle &amp; Fault" numFmtId="171">
      <sharedItems/>
    </cacheField>
    <cacheField name="Different Fault Count" numFmtId="1">
      <sharedItems containsSemiMixedTypes="0" containsString="0" containsNumber="1" containsInteger="1" minValue="0" maxValue="1"/>
    </cacheField>
    <cacheField name="Fault State" numFmtId="0">
      <sharedItems count="1">
        <s v=" "/>
      </sharedItems>
    </cacheField>
    <cacheField name="Engine Fault Active?" numFmtId="0">
      <sharedItems/>
    </cacheField>
    <cacheField name="Source" numFmtId="0">
      <sharedItems/>
    </cacheField>
    <cacheField name="Engine Fault Telematics Source" numFmtId="0">
      <sharedItems/>
    </cacheField>
    <cacheField name="Controller" numFmtId="171">
      <sharedItems/>
    </cacheField>
    <cacheField name="Code" numFmtId="0">
      <sharedItems count="3">
        <s v="175"/>
        <s v="166"/>
        <s v="265"/>
      </sharedItems>
    </cacheField>
    <cacheField name="SendReport" numFmtId="0">
      <sharedItems/>
    </cacheField>
    <cacheField name="Severity" numFmtId="0">
      <sharedItems/>
    </cacheField>
    <cacheField name="Fault Description" numFmtId="0">
      <sharedItems/>
    </cacheField>
    <cacheField name="Effect On Component" numFmtId="0">
      <sharedItems/>
    </cacheField>
    <cacheField name="Recommendation" numFmtId="0">
      <sharedItems/>
    </cacheField>
    <cacheField name="Risk of Breakdow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  <s v="b13"/>
    <d v="2026-01-31T13:45:32"/>
    <n v="0"/>
    <x v="0"/>
    <s v="Demo - 19 Low priority warning light is on"/>
    <n v="1"/>
    <x v="0"/>
    <b v="0"/>
    <s v="Telematics Device"/>
    <b v="1"/>
    <s v="Telematics device"/>
    <x v="0"/>
    <b v="1"/>
    <s v=""/>
    <s v=""/>
    <s v=""/>
    <s v=""/>
    <m/>
  </r>
  <r>
    <x v="0"/>
    <x v="0"/>
    <s v="b13"/>
    <d v="2026-02-10T20:03:53"/>
    <n v="0"/>
    <x v="0"/>
    <s v="Demo - 19 Low priority warning light is on"/>
    <n v="0"/>
    <x v="0"/>
    <b v="0"/>
    <s v="Telematics Device"/>
    <b v="1"/>
    <s v="Telematics device"/>
    <x v="0"/>
    <b v="1"/>
    <s v=""/>
    <s v=""/>
    <s v=""/>
    <s v=""/>
    <m/>
  </r>
  <r>
    <x v="0"/>
    <x v="0"/>
    <s v="b13"/>
    <d v="2026-02-18T20:05:47"/>
    <n v="0"/>
    <x v="0"/>
    <s v="Demo - 19 Low priority warning light is on"/>
    <n v="0"/>
    <x v="0"/>
    <b v="0"/>
    <s v="Telematics Device"/>
    <b v="1"/>
    <s v="Telematics device"/>
    <x v="0"/>
    <b v="1"/>
    <s v=""/>
    <s v=""/>
    <s v=""/>
    <s v=""/>
    <m/>
  </r>
  <r>
    <x v="0"/>
    <x v="0"/>
    <s v="b13"/>
    <d v="2026-02-19T20:41:58"/>
    <n v="0"/>
    <x v="0"/>
    <s v="Demo - 19 Low priority warning light is on"/>
    <n v="0"/>
    <x v="0"/>
    <b v="0"/>
    <s v="Telematics Device"/>
    <b v="1"/>
    <s v="Telematics device"/>
    <x v="0"/>
    <b v="1"/>
    <s v=""/>
    <s v=""/>
    <s v=""/>
    <s v=""/>
    <m/>
  </r>
  <r>
    <x v="1"/>
    <x v="0"/>
    <s v="b14"/>
    <d v="2026-02-05T09:29:38"/>
    <n v="0"/>
    <x v="0"/>
    <s v="Demo - 20 Low priority warning light is on"/>
    <n v="1"/>
    <x v="0"/>
    <b v="0"/>
    <s v="Telematics Device"/>
    <b v="1"/>
    <s v="Telematics device"/>
    <x v="0"/>
    <b v="1"/>
    <s v=""/>
    <s v=""/>
    <s v=""/>
    <s v=""/>
    <m/>
  </r>
  <r>
    <x v="1"/>
    <x v="0"/>
    <s v="b14"/>
    <d v="2026-02-15T15:47:59"/>
    <n v="0"/>
    <x v="0"/>
    <s v="Demo - 20 Low priority warning light is on"/>
    <n v="0"/>
    <x v="0"/>
    <b v="0"/>
    <s v="Telematics Device"/>
    <b v="1"/>
    <s v="Telematics device"/>
    <x v="0"/>
    <b v="1"/>
    <s v=""/>
    <s v=""/>
    <s v=""/>
    <s v=""/>
    <m/>
  </r>
  <r>
    <x v="2"/>
    <x v="0"/>
    <s v="b15"/>
    <d v="2026-02-10T05:13:45"/>
    <n v="0"/>
    <x v="0"/>
    <s v="Demo - 21 Low priority warning light is on"/>
    <n v="1"/>
    <x v="0"/>
    <b v="0"/>
    <s v="Telematics Device"/>
    <b v="1"/>
    <s v="Telematics device"/>
    <x v="0"/>
    <b v="1"/>
    <s v=""/>
    <s v=""/>
    <s v=""/>
    <s v=""/>
    <m/>
  </r>
  <r>
    <x v="2"/>
    <x v="0"/>
    <s v="b15"/>
    <d v="2026-02-20T11:32:06"/>
    <n v="0"/>
    <x v="0"/>
    <s v="Demo - 21 Low priority warning light is on"/>
    <n v="0"/>
    <x v="0"/>
    <b v="0"/>
    <s v="Telematics Device"/>
    <b v="1"/>
    <s v="Telematics device"/>
    <x v="0"/>
    <b v="1"/>
    <s v=""/>
    <s v=""/>
    <s v=""/>
    <s v=""/>
    <m/>
  </r>
  <r>
    <x v="3"/>
    <x v="0"/>
    <s v="b16"/>
    <d v="2026-02-15T00:57:51"/>
    <n v="0"/>
    <x v="0"/>
    <s v="Demo - 22 Low priority warning light is on"/>
    <n v="1"/>
    <x v="0"/>
    <b v="0"/>
    <s v="Telematics Device"/>
    <b v="1"/>
    <s v="Telematics device"/>
    <x v="0"/>
    <b v="1"/>
    <s v=""/>
    <s v=""/>
    <s v=""/>
    <s v=""/>
    <m/>
  </r>
  <r>
    <x v="4"/>
    <x v="0"/>
    <s v="b17"/>
    <d v="2026-02-03T00:03:32"/>
    <n v="0"/>
    <x v="1"/>
    <s v="Demo - 23 Alert: Collision limit for acceleration exceeded"/>
    <n v="1"/>
    <x v="0"/>
    <b v="0"/>
    <s v="Telematics Device"/>
    <b v="1"/>
    <s v="Telematics device"/>
    <x v="1"/>
    <b v="1"/>
    <s v=""/>
    <s v=""/>
    <s v=""/>
    <s v=""/>
    <m/>
  </r>
  <r>
    <x v="4"/>
    <x v="0"/>
    <s v="b17"/>
    <d v="2026-02-21T09:58:27"/>
    <n v="0"/>
    <x v="1"/>
    <s v="Demo - 23 Alert: Collision limit for acceleration exceeded"/>
    <n v="0"/>
    <x v="0"/>
    <b v="0"/>
    <s v="Telematics Device"/>
    <b v="1"/>
    <s v="Telematics device"/>
    <x v="1"/>
    <b v="1"/>
    <s v=""/>
    <s v=""/>
    <s v=""/>
    <s v=""/>
    <m/>
  </r>
  <r>
    <x v="5"/>
    <x v="0"/>
    <s v="b18"/>
    <d v="2026-02-07T14:32:16"/>
    <n v="0"/>
    <x v="1"/>
    <s v="Demo - 24 Alert: Collision limit for acceleration exceeded"/>
    <n v="1"/>
    <x v="0"/>
    <b v="0"/>
    <s v="Telematics Device"/>
    <b v="1"/>
    <s v="Telematics device"/>
    <x v="1"/>
    <b v="1"/>
    <s v=""/>
    <s v=""/>
    <s v=""/>
    <s v=""/>
    <m/>
  </r>
  <r>
    <x v="6"/>
    <x v="0"/>
    <s v="b19"/>
    <d v="2026-02-12T05:00:59"/>
    <n v="0"/>
    <x v="1"/>
    <s v="Demo - 25 Alert: Collision limit for acceleration exceeded"/>
    <n v="1"/>
    <x v="0"/>
    <b v="0"/>
    <s v="Telematics Device"/>
    <b v="1"/>
    <s v="Telematics device"/>
    <x v="1"/>
    <b v="1"/>
    <s v=""/>
    <s v=""/>
    <s v=""/>
    <s v=""/>
    <m/>
  </r>
  <r>
    <x v="7"/>
    <x v="0"/>
    <s v="b1A"/>
    <d v="2026-02-16T19:29:43"/>
    <n v="0"/>
    <x v="1"/>
    <s v="Demo - 26 Alert: Collision limit for acceleration exceeded"/>
    <n v="1"/>
    <x v="0"/>
    <b v="0"/>
    <s v="Telematics Device"/>
    <b v="1"/>
    <s v="Telematics device"/>
    <x v="1"/>
    <b v="1"/>
    <s v=""/>
    <s v=""/>
    <s v=""/>
    <s v=""/>
    <m/>
  </r>
  <r>
    <x v="8"/>
    <x v="0"/>
    <s v="b1F"/>
    <d v="2026-02-05T23:39:29"/>
    <n v="0"/>
    <x v="0"/>
    <s v="Demo - 31 Low priority warning light is on"/>
    <n v="1"/>
    <x v="0"/>
    <b v="0"/>
    <s v="Telematics Device"/>
    <b v="1"/>
    <s v="Telematics device"/>
    <x v="0"/>
    <b v="1"/>
    <s v=""/>
    <s v=""/>
    <s v=""/>
    <s v=""/>
    <m/>
  </r>
  <r>
    <x v="8"/>
    <x v="0"/>
    <s v="b1F"/>
    <d v="2026-02-12T19:58:15"/>
    <n v="0"/>
    <x v="0"/>
    <s v="Demo - 31 Low priority warning light is on"/>
    <n v="0"/>
    <x v="0"/>
    <b v="0"/>
    <s v="Telematics Device"/>
    <b v="1"/>
    <s v="Telematics device"/>
    <x v="0"/>
    <b v="1"/>
    <s v=""/>
    <s v=""/>
    <s v=""/>
    <s v=""/>
    <m/>
  </r>
  <r>
    <x v="9"/>
    <x v="0"/>
    <s v="b20"/>
    <d v="2026-02-10T11:54:58"/>
    <n v="0"/>
    <x v="0"/>
    <s v="Demo - 32 Low priority warning light is on"/>
    <n v="1"/>
    <x v="0"/>
    <b v="0"/>
    <s v="Telematics Device"/>
    <b v="1"/>
    <s v="Telematics device"/>
    <x v="0"/>
    <b v="1"/>
    <s v=""/>
    <s v=""/>
    <s v=""/>
    <s v=""/>
    <m/>
  </r>
  <r>
    <x v="9"/>
    <x v="0"/>
    <s v="b20"/>
    <d v="2026-02-17T08:13:44"/>
    <n v="0"/>
    <x v="0"/>
    <s v="Demo - 32 Low priority warning light is on"/>
    <n v="0"/>
    <x v="0"/>
    <b v="0"/>
    <s v="Telematics Device"/>
    <b v="1"/>
    <s v="Telematics device"/>
    <x v="0"/>
    <b v="1"/>
    <s v=""/>
    <s v=""/>
    <s v=""/>
    <s v=""/>
    <m/>
  </r>
  <r>
    <x v="10"/>
    <x v="0"/>
    <s v="b21"/>
    <d v="2026-02-15T00:10:27"/>
    <n v="0"/>
    <x v="0"/>
    <s v="Demo - 33 Low priority warning light is on"/>
    <n v="1"/>
    <x v="0"/>
    <b v="0"/>
    <s v="Telematics Device"/>
    <b v="1"/>
    <s v="Telematics device"/>
    <x v="0"/>
    <b v="1"/>
    <s v=""/>
    <s v=""/>
    <s v=""/>
    <s v=""/>
    <m/>
  </r>
  <r>
    <x v="11"/>
    <x v="0"/>
    <s v="b22"/>
    <d v="2026-02-19T12:25:56"/>
    <n v="0"/>
    <x v="0"/>
    <s v="Demo - 34 Low priority warning light is on"/>
    <n v="1"/>
    <x v="0"/>
    <b v="0"/>
    <s v="Telematics Device"/>
    <b v="1"/>
    <s v="Telematics device"/>
    <x v="0"/>
    <b v="1"/>
    <s v=""/>
    <s v=""/>
    <s v=""/>
    <s v=""/>
    <m/>
  </r>
  <r>
    <x v="12"/>
    <x v="0"/>
    <s v="b27"/>
    <d v="2026-02-01T07:08:19"/>
    <n v="0"/>
    <x v="2"/>
    <s v="Demo - 39 Telematics device fault: Check device installation as the accelerometer was disabled due to excessive data"/>
    <n v="1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09:04:3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0:06:0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0:30:0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1:04:4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1:45:5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2:40:5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3:01:2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3:51:0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1T14:42:1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09:36:3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0:25:1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1:13:5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1:56:0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2:40:5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3:19:1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4:07:1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4:41:5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4:50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2T15:25:4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3T13:47:1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3T14:56:0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09:39:4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0:41:1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1:35:4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1:48:1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2:09:5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2:25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4:16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6T14:40:4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7T09:48:4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07:08:0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09:13:4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09:46:4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0:21:1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1:03:2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1:44:2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2:35:3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2:55:1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3:02:5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8T13:37:1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09:20:3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0:11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0:58:5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2:05:4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2:49:5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3:24:2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3:42:5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09T14:22:3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14:37:2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14:47:1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18:26:3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18:55:5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19:45:2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20:44:3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21:11:1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21:29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22:09:1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0T23:27:5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1T00:11:1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18:23:2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19:09:2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19:56:5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20:34:0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20:53:1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22:03:0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22:22:0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23:07:1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2T23:36:1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00:56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01:26:26"/>
    <n v="0"/>
    <x v="1"/>
    <s v="Demo - 39 Alert: Collision limit for acceleration exceeded"/>
    <n v="1"/>
    <x v="0"/>
    <b v="0"/>
    <s v="Telematics Device"/>
    <b v="1"/>
    <s v="Telematics device"/>
    <x v="1"/>
    <b v="1"/>
    <s v=""/>
    <s v=""/>
    <s v=""/>
    <s v=""/>
    <m/>
  </r>
  <r>
    <x v="12"/>
    <x v="0"/>
    <s v="b27"/>
    <d v="2026-02-13T18:47:5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19:49:4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20:35:2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21:31:3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22:23:5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3T23:10:2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4T00:10:4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4T00:38:2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4T00:50:3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4T19:12:0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18:01:1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18:21:2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18:42:52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19:30:4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20:19:4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21:03:5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21:44:5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22:24:2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7T23:18:4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16:24:1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18:20:3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19:22:07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19:46:08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20:20:4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21:01:5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21:56:5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22:17:1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23:07:0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19T23:58:10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18:52:2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19:41:1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20:29:5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21:12:04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21:56:53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22:35:09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23:23:1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0T23:57:51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1T00:06:55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2"/>
    <x v="0"/>
    <s v="b27"/>
    <d v="2026-02-21T00:41:46"/>
    <n v="0"/>
    <x v="2"/>
    <s v="Demo - 39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5T21:27:19"/>
    <n v="0"/>
    <x v="2"/>
    <s v="Demo - 40 Telematics device fault: Check device installation as the accelerometer was disabled due to excessive data"/>
    <n v="1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5T23:23:3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0:25:0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0:49:0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1:23:4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2:04:5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2:59:55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3:20:2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4:10:0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05:01:11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6T23:55:3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0:44:1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1:32:5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2:15:05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2:59:5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3:38:1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4:26:1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5:00:5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5:09:5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7T05:44:4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8T04:06:1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08T05:15:0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0T23:58:4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1:00:11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1:54:4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2:07:1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2:28:5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2:44:5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4:35:5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1T04:59:4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2T00:07:4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2T21:27:0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2T23:32:4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0:05:4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0:40:1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1:22:2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2:03:2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2:54:3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3:14:15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3:21:5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03:56:1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3T23:39:3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0:30:5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1:17:5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2:24:4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3:08:5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3:43:2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4:01:5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4T04:41:3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04:56:2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05:06:1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08:45:3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09:14:5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0:04:2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1:03:3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1:30:1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1:48:5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2:28:15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3:46:5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5T14:30:15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08:42:21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09:28:21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0:15:51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0:53:00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1:12:17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2:22:0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2:41:01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3:26:1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3:55:1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5:15:5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7T15:45:26"/>
    <n v="0"/>
    <x v="1"/>
    <s v="Demo - 40 Alert: Collision limit for acceleration exceeded"/>
    <n v="1"/>
    <x v="0"/>
    <b v="0"/>
    <s v="Telematics Device"/>
    <b v="1"/>
    <s v="Telematics device"/>
    <x v="1"/>
    <b v="1"/>
    <s v=""/>
    <s v=""/>
    <s v=""/>
    <s v=""/>
    <m/>
  </r>
  <r>
    <x v="13"/>
    <x v="0"/>
    <s v="b28"/>
    <d v="2026-02-18T09:06:5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0:08:4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0:54:23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1:50:36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2:42:52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3:29:2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4:29:49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4:57:24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8T15:09:3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3"/>
    <x v="0"/>
    <s v="b28"/>
    <d v="2026-02-19T09:31:08"/>
    <n v="0"/>
    <x v="2"/>
    <s v="Demo - 40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1:46:18"/>
    <n v="0"/>
    <x v="2"/>
    <s v="Demo - 41 Telematics device fault: Check device installation as the accelerometer was disabled due to excessive data"/>
    <n v="1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3:42:3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4:44:07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5:08:08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5:42:4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6:23:5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7:18:54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7:39:1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8:29:0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0T19:20:10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4:14:2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5:03:1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5:51:5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6:34:04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7:18:53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7:57:0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8:45:1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9:19:5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19:28:5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1T20:03:4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2T18:25:18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2T19:34:02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4:17:3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5:19:10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6:13:47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6:26:1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6:47:57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7:03:5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8:54:5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5T19:18:43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6T14:26:42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1:46:07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3:51:4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4:24:3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4:59:18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5:41:2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6:22:2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7:13:38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7:33:14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7:40:52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7T18:15:1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3:58:3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4:49:5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5:36:53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6:43:4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7:27:4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8:02:22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8:20:56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8T19:00:33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9T19:15:23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9T19:25:12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9T23:04:3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19T23:33:52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0:23:19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1:22:31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1:49:1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2:07:55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2:47:14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4:05:58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4"/>
    <x v="0"/>
    <s v="b29"/>
    <d v="2026-02-20T04:49:14"/>
    <n v="0"/>
    <x v="2"/>
    <s v="Demo - 41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2:05:18"/>
    <n v="0"/>
    <x v="2"/>
    <s v="Demo - 42 Telematics device fault: Check device installation as the accelerometer was disabled due to excessive data"/>
    <n v="1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4:01:36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5:03:07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5:27:08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6:01:46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6:42:51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7:37:54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7:58:19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8:48:01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5T09:39:10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4:33:29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5:22:15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6:10:51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6:53:04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7:37:53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8:16:09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9:04:11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9:38:51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09:47:55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6T10:22:46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7T08:44:18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17T09:53:02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4:36:39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5:38:10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6:32:47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6:45:15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7:06:57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7:22:55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9:13:55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5"/>
    <x v="0"/>
    <s v="b2A"/>
    <d v="2026-02-20T09:37:43"/>
    <n v="0"/>
    <x v="2"/>
    <s v="Demo - 42 Telematics device fault: Check device installation as the accelerometer was disabled due to excessive data"/>
    <n v="0"/>
    <x v="0"/>
    <b v="0"/>
    <s v="Telematics Device"/>
    <b v="1"/>
    <s v="Telematics device"/>
    <x v="2"/>
    <b v="1"/>
    <s v=""/>
    <s v=""/>
    <s v=""/>
    <s v=""/>
    <m/>
  </r>
  <r>
    <x v="16"/>
    <x v="0"/>
    <s v="b2B"/>
    <d v="2026-02-16T13:07:02"/>
    <n v="0"/>
    <x v="0"/>
    <s v="Demo - 43 Low priority warning light is on"/>
    <n v="1"/>
    <x v="0"/>
    <b v="0"/>
    <s v="Telematics Device"/>
    <b v="1"/>
    <s v="Telematics device"/>
    <x v="0"/>
    <b v="1"/>
    <s v=""/>
    <s v=""/>
    <s v="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dataOnRows="1" applyNumberFormats="0" applyBorderFormats="0" applyFontFormats="0" applyPatternFormats="0" applyAlignmentFormats="0" applyWidthHeightFormats="1" dataCaption="Data" updatedVersion="8" minRefreshableVersion="3" showDrill="0" showMemberPropertyTips="0" colGrandTotals="0" itemPrintTitles="1" createdVersion="4" indent="0" compact="0" compactData="0" chartFormat="4">
  <location ref="A9:F10" firstHeaderRow="1" firstDataRow="1" firstDataCol="5"/>
  <pivotFields count="20">
    <pivotField axis="axisRow" compact="0" outline="0" showAll="0" measureFilter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numFmtId="170" outline="0" showAll="0"/>
    <pivotField dataField="1" compact="0" numFmtId="1" outline="0" showAll="0"/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numFmtId="1" outline="0" showAll="0"/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0"/>
    <field x="1"/>
    <field x="5"/>
    <field x="13"/>
    <field x="8"/>
  </rowFields>
  <rowItems count="1">
    <i t="grand">
      <x/>
    </i>
  </rowItems>
  <colItems count="1">
    <i/>
  </colItems>
  <dataFields count="1">
    <dataField name="Fault Count" fld="4" baseField="8" baseItem="0"/>
  </dataFields>
  <formats count="16"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dataOnly="0" labelOnly="1" outline="0" axis="axisValues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grandRow="1" outline="0" fieldPosition="0"/>
    </format>
    <format dxfId="97">
      <pivotArea field="0" type="button" dataOnly="0" labelOnly="1" outline="0" axis="axisRow" fieldPosition="0"/>
    </format>
    <format dxfId="96">
      <pivotArea field="1" type="button" dataOnly="0" labelOnly="1" outline="0" axis="axisRow" fieldPosition="1"/>
    </format>
    <format dxfId="95">
      <pivotArea field="5" type="button" dataOnly="0" labelOnly="1" outline="0" axis="axisRow" fieldPosition="2"/>
    </format>
    <format dxfId="94">
      <pivotArea field="13" type="button" dataOnly="0" labelOnly="1" outline="0" axis="axisRow" fieldPosition="3"/>
    </format>
    <format dxfId="93">
      <pivotArea field="8" type="button" dataOnly="0" labelOnly="1" outline="0" axis="axisRow" fieldPosition="4"/>
    </format>
    <format dxfId="92">
      <pivotArea dataOnly="0" labelOnly="1" outline="0" axis="axisValues" fieldPosition="0"/>
    </format>
  </formats>
  <pivotTableStyleInfo name="PivotStyleLightCustom" showRowHeaders="0" showColHeaders="1" showRowStripes="1" showColStripes="0" showLastColumn="1"/>
  <filters count="2">
    <filter fld="8" type="captionNotBeginsWith" evalOrder="-1" id="9" stringValue1=" ">
      <autoFilter ref="A1">
        <filterColumn colId="0">
          <customFilters>
            <customFilter operator="notEqual" val=" *"/>
          </customFilters>
        </filterColumn>
      </autoFilter>
    </filter>
    <filter fld="0" type="valueGreaterThan" evalOrder="-1" id="5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" cacheId="8" applyNumberFormats="0" applyBorderFormats="0" applyFontFormats="0" applyPatternFormats="0" applyAlignmentFormats="0" applyWidthHeightFormats="1" dataCaption="Data" updatedVersion="8" minRefreshableVersion="3" showDrill="0" showMemberPropertyTips="0" rowGrandTotals="0" colGrandTotals="0" itemPrintTitles="1" createdVersion="4" indent="0" compact="0" compactData="0" chartFormat="9">
  <location ref="A9:C26" firstHeaderRow="0" firstDataRow="1" firstDataCol="1"/>
  <pivotFields count="20">
    <pivotField name="Device" axis="axisRow" compact="0" outline="0" showAll="0" measureFilter="1" sortType="de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70" outline="0" showAll="0"/>
    <pivotField dataField="1" compact="0" numFmtId="1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7">
    <i>
      <x v="15"/>
    </i>
    <i>
      <x v="11"/>
    </i>
    <i>
      <x v="9"/>
    </i>
    <i>
      <x v="1"/>
    </i>
    <i>
      <x v="13"/>
    </i>
    <i>
      <x v="2"/>
    </i>
    <i>
      <x/>
    </i>
    <i>
      <x v="3"/>
    </i>
    <i>
      <x v="10"/>
    </i>
    <i>
      <x v="4"/>
    </i>
    <i>
      <x v="12"/>
    </i>
    <i>
      <x v="5"/>
    </i>
    <i>
      <x v="14"/>
    </i>
    <i>
      <x v="6"/>
    </i>
    <i>
      <x v="1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Fault Count" fld="4" baseField="0" baseItem="1"/>
    <dataField name="Fault Code Count" fld="7" baseField="0" baseItem="2"/>
  </dataFields>
  <formats count="27"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  <format dxfId="88">
      <pivotArea dataOnly="0" labelOnly="1" outline="0" axis="axisValues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dataOnly="0" labelOnly="1" outline="0" axis="axisValues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dataOnly="0" labelOnly="1" outline="0" axis="axisValues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dataOnly="0" labelOnly="1" outline="0" axis="axisValues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dataOnly="0" labelOnly="1" outline="0" axis="axisValues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dataOnly="0" labelOnly="1" outline="0" axis="axisValues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8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Custom" showRowHeaders="0" showColHeaders="1" showRowStripes="1" showColStripes="0" showLastColumn="1"/>
  <filters count="1">
    <filter fld="0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eckmateReportTheme">
  <a:themeElements>
    <a:clrScheme name="Geotab Brand Colors">
      <a:dk1>
        <a:sysClr val="windowText" lastClr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10"/>
  <sheetViews>
    <sheetView tabSelected="1" topLeftCell="G1" workbookViewId="0">
      <pane ySplit="8" topLeftCell="A9" activePane="bottomLeft" state="frozen"/>
      <selection pane="bottomLeft" activeCell="K35" sqref="K35"/>
    </sheetView>
  </sheetViews>
  <sheetFormatPr defaultColWidth="8.7109375" defaultRowHeight="12.75"/>
  <cols>
    <col min="1" max="1" width="14.42578125" customWidth="1"/>
    <col min="2" max="4" width="27.28515625" customWidth="1"/>
    <col min="5" max="5" width="19" customWidth="1"/>
    <col min="6" max="6" width="46" customWidth="1"/>
    <col min="7" max="7" width="13" customWidth="1"/>
    <col min="8" max="8" width="13.42578125" customWidth="1"/>
    <col min="9" max="9" width="13" customWidth="1"/>
    <col min="10" max="11" width="16.42578125" customWidth="1"/>
    <col min="12" max="12" width="14.140625" customWidth="1"/>
    <col min="13" max="13" width="21.7109375" customWidth="1"/>
    <col min="14" max="14" width="68.28515625" customWidth="1"/>
    <col min="15" max="15" width="35.85546875" customWidth="1"/>
  </cols>
  <sheetData>
    <row r="1" spans="1:15">
      <c r="A1" s="4" t="s">
        <v>0</v>
      </c>
      <c r="B1" s="3" t="s">
        <v>778</v>
      </c>
      <c r="C1" s="3"/>
      <c r="D1" s="3"/>
    </row>
    <row r="2" spans="1:15">
      <c r="A2" s="4" t="s">
        <v>1</v>
      </c>
      <c r="B2" s="3">
        <v>46074.958065405095</v>
      </c>
      <c r="C2" s="3"/>
      <c r="D2" s="3"/>
    </row>
    <row r="3" spans="1:15">
      <c r="A3" s="4" t="s">
        <v>2</v>
      </c>
      <c r="B3" s="3">
        <v>45678</v>
      </c>
      <c r="C3" s="3"/>
      <c r="D3" s="3"/>
    </row>
    <row r="4" spans="1:15">
      <c r="A4" s="4" t="s">
        <v>3</v>
      </c>
      <c r="B4" s="3">
        <v>46074.999988425923</v>
      </c>
      <c r="C4" s="3"/>
      <c r="D4" s="3"/>
    </row>
    <row r="5" spans="1:15">
      <c r="A5" s="4" t="s">
        <v>4</v>
      </c>
      <c r="B5" s="3" t="b">
        <v>1</v>
      </c>
      <c r="C5" s="3"/>
      <c r="D5" s="3"/>
    </row>
    <row r="6" spans="1:15">
      <c r="A6" s="4" t="s">
        <v>5</v>
      </c>
      <c r="B6" s="3" t="s">
        <v>779</v>
      </c>
      <c r="C6" s="3"/>
      <c r="D6" s="3"/>
    </row>
    <row r="7" spans="1:15">
      <c r="A7" s="4" t="s">
        <v>6</v>
      </c>
      <c r="B7" s="3" t="s">
        <v>7</v>
      </c>
      <c r="C7" s="3"/>
      <c r="D7" s="3"/>
    </row>
    <row r="8" spans="1:15" ht="19.5" thickBot="1">
      <c r="A8" s="1" t="s">
        <v>8</v>
      </c>
      <c r="B8" s="1" t="s">
        <v>9</v>
      </c>
      <c r="C8" s="1" t="s">
        <v>565</v>
      </c>
      <c r="D8" s="1" t="s">
        <v>448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76" t="s">
        <v>563</v>
      </c>
      <c r="L8" s="77" t="s">
        <v>566</v>
      </c>
      <c r="M8" s="77" t="s">
        <v>567</v>
      </c>
      <c r="N8" s="77" t="s">
        <v>568</v>
      </c>
      <c r="O8" s="78" t="s">
        <v>776</v>
      </c>
    </row>
    <row r="9" spans="1:15">
      <c r="A9" s="2" t="s">
        <v>780</v>
      </c>
      <c r="B9" s="2" t="s">
        <v>781</v>
      </c>
      <c r="C9" s="2" t="s">
        <v>782</v>
      </c>
      <c r="D9" s="2" t="s">
        <v>783</v>
      </c>
      <c r="E9" s="3">
        <v>46053.573287037034</v>
      </c>
      <c r="F9" s="2" t="s">
        <v>784</v>
      </c>
      <c r="G9" s="2" t="s">
        <v>785</v>
      </c>
      <c r="H9" s="2" t="s">
        <v>17</v>
      </c>
      <c r="I9" s="2" t="s">
        <v>786</v>
      </c>
      <c r="J9" s="2" t="s">
        <v>16</v>
      </c>
    </row>
    <row r="10" spans="1:15">
      <c r="A10" s="2" t="s">
        <v>780</v>
      </c>
      <c r="B10" s="2" t="s">
        <v>781</v>
      </c>
      <c r="C10" s="2" t="s">
        <v>782</v>
      </c>
      <c r="D10" s="2" t="s">
        <v>783</v>
      </c>
      <c r="E10" s="3">
        <v>46063.836030092592</v>
      </c>
      <c r="F10" s="2" t="s">
        <v>784</v>
      </c>
      <c r="G10" s="2" t="s">
        <v>785</v>
      </c>
      <c r="H10" s="2" t="s">
        <v>17</v>
      </c>
      <c r="I10" s="2" t="s">
        <v>786</v>
      </c>
      <c r="J10" s="2" t="s">
        <v>16</v>
      </c>
    </row>
    <row r="11" spans="1:15">
      <c r="A11" s="2" t="s">
        <v>780</v>
      </c>
      <c r="B11" s="2" t="s">
        <v>781</v>
      </c>
      <c r="C11" s="2" t="s">
        <v>782</v>
      </c>
      <c r="D11" s="2" t="s">
        <v>783</v>
      </c>
      <c r="E11" s="3">
        <v>46071.83734953704</v>
      </c>
      <c r="F11" s="2" t="s">
        <v>784</v>
      </c>
      <c r="G11" s="2" t="s">
        <v>785</v>
      </c>
      <c r="H11" s="2" t="s">
        <v>17</v>
      </c>
      <c r="I11" s="2" t="s">
        <v>786</v>
      </c>
      <c r="J11" s="2" t="s">
        <v>16</v>
      </c>
    </row>
    <row r="12" spans="1:15">
      <c r="A12" s="2" t="s">
        <v>780</v>
      </c>
      <c r="B12" s="2" t="s">
        <v>781</v>
      </c>
      <c r="C12" s="2" t="s">
        <v>782</v>
      </c>
      <c r="D12" s="2" t="s">
        <v>783</v>
      </c>
      <c r="E12" s="3">
        <v>46072.862476851849</v>
      </c>
      <c r="F12" s="2" t="s">
        <v>784</v>
      </c>
      <c r="G12" s="2" t="s">
        <v>785</v>
      </c>
      <c r="H12" s="2" t="s">
        <v>17</v>
      </c>
      <c r="I12" s="2" t="s">
        <v>786</v>
      </c>
      <c r="J12" s="2" t="s">
        <v>16</v>
      </c>
    </row>
    <row r="13" spans="1:15">
      <c r="A13" s="2" t="s">
        <v>787</v>
      </c>
      <c r="B13" s="2" t="s">
        <v>781</v>
      </c>
      <c r="C13" s="2" t="s">
        <v>782</v>
      </c>
      <c r="D13" s="2" t="s">
        <v>788</v>
      </c>
      <c r="E13" s="3">
        <v>46058.395581597222</v>
      </c>
      <c r="F13" s="2" t="s">
        <v>784</v>
      </c>
      <c r="G13" s="2" t="s">
        <v>785</v>
      </c>
      <c r="H13" s="2" t="s">
        <v>17</v>
      </c>
      <c r="I13" s="2" t="s">
        <v>786</v>
      </c>
      <c r="J13" s="2" t="s">
        <v>16</v>
      </c>
    </row>
    <row r="14" spans="1:15">
      <c r="A14" s="2" t="s">
        <v>787</v>
      </c>
      <c r="B14" s="2" t="s">
        <v>781</v>
      </c>
      <c r="C14" s="2" t="s">
        <v>782</v>
      </c>
      <c r="D14" s="2" t="s">
        <v>788</v>
      </c>
      <c r="E14" s="3">
        <v>46068.658324652781</v>
      </c>
      <c r="F14" s="2" t="s">
        <v>784</v>
      </c>
      <c r="G14" s="2" t="s">
        <v>785</v>
      </c>
      <c r="H14" s="2" t="s">
        <v>17</v>
      </c>
      <c r="I14" s="2" t="s">
        <v>786</v>
      </c>
      <c r="J14" s="2" t="s">
        <v>16</v>
      </c>
    </row>
    <row r="15" spans="1:15">
      <c r="A15" s="2" t="s">
        <v>789</v>
      </c>
      <c r="B15" s="2" t="s">
        <v>781</v>
      </c>
      <c r="C15" s="2" t="s">
        <v>782</v>
      </c>
      <c r="D15" s="2" t="s">
        <v>790</v>
      </c>
      <c r="E15" s="3">
        <v>46063.217876157512</v>
      </c>
      <c r="F15" s="2" t="s">
        <v>784</v>
      </c>
      <c r="G15" s="2" t="s">
        <v>785</v>
      </c>
      <c r="H15" s="2" t="s">
        <v>17</v>
      </c>
      <c r="I15" s="2" t="s">
        <v>786</v>
      </c>
      <c r="J15" s="2" t="s">
        <v>16</v>
      </c>
    </row>
    <row r="16" spans="1:15">
      <c r="A16" s="2" t="s">
        <v>789</v>
      </c>
      <c r="B16" s="2" t="s">
        <v>781</v>
      </c>
      <c r="C16" s="2" t="s">
        <v>782</v>
      </c>
      <c r="D16" s="2" t="s">
        <v>790</v>
      </c>
      <c r="E16" s="3">
        <v>46073.480619213064</v>
      </c>
      <c r="F16" s="2" t="s">
        <v>784</v>
      </c>
      <c r="G16" s="2" t="s">
        <v>785</v>
      </c>
      <c r="H16" s="2" t="s">
        <v>17</v>
      </c>
      <c r="I16" s="2" t="s">
        <v>786</v>
      </c>
      <c r="J16" s="2" t="s">
        <v>16</v>
      </c>
    </row>
    <row r="17" spans="1:10">
      <c r="A17" s="2" t="s">
        <v>791</v>
      </c>
      <c r="B17" s="2" t="s">
        <v>781</v>
      </c>
      <c r="C17" s="2" t="s">
        <v>782</v>
      </c>
      <c r="D17" s="2" t="s">
        <v>792</v>
      </c>
      <c r="E17" s="3">
        <v>46068.040170717592</v>
      </c>
      <c r="F17" s="2" t="s">
        <v>784</v>
      </c>
      <c r="G17" s="2" t="s">
        <v>785</v>
      </c>
      <c r="H17" s="2" t="s">
        <v>17</v>
      </c>
      <c r="I17" s="2" t="s">
        <v>786</v>
      </c>
      <c r="J17" s="2" t="s">
        <v>16</v>
      </c>
    </row>
    <row r="18" spans="1:10">
      <c r="A18" s="2" t="s">
        <v>793</v>
      </c>
      <c r="B18" s="2" t="s">
        <v>781</v>
      </c>
      <c r="C18" s="2" t="s">
        <v>782</v>
      </c>
      <c r="D18" s="2" t="s">
        <v>794</v>
      </c>
      <c r="E18" s="3">
        <v>46056.002453703702</v>
      </c>
      <c r="F18" s="2" t="s">
        <v>795</v>
      </c>
      <c r="G18" s="2" t="s">
        <v>796</v>
      </c>
      <c r="H18" s="2" t="s">
        <v>17</v>
      </c>
      <c r="I18" s="2" t="s">
        <v>786</v>
      </c>
      <c r="J18" s="2" t="s">
        <v>16</v>
      </c>
    </row>
    <row r="19" spans="1:10">
      <c r="A19" s="2" t="s">
        <v>793</v>
      </c>
      <c r="B19" s="2" t="s">
        <v>781</v>
      </c>
      <c r="C19" s="2" t="s">
        <v>782</v>
      </c>
      <c r="D19" s="2" t="s">
        <v>794</v>
      </c>
      <c r="E19" s="3">
        <v>46074.415590277778</v>
      </c>
      <c r="F19" s="2" t="s">
        <v>795</v>
      </c>
      <c r="G19" s="2" t="s">
        <v>796</v>
      </c>
      <c r="H19" s="2" t="s">
        <v>17</v>
      </c>
      <c r="I19" s="2" t="s">
        <v>786</v>
      </c>
      <c r="J19" s="2" t="s">
        <v>16</v>
      </c>
    </row>
    <row r="20" spans="1:10">
      <c r="A20" s="2" t="s">
        <v>797</v>
      </c>
      <c r="B20" s="2" t="s">
        <v>781</v>
      </c>
      <c r="C20" s="2" t="s">
        <v>782</v>
      </c>
      <c r="D20" s="2" t="s">
        <v>798</v>
      </c>
      <c r="E20" s="3">
        <v>46060.605734953802</v>
      </c>
      <c r="F20" s="2" t="s">
        <v>795</v>
      </c>
      <c r="G20" s="2" t="s">
        <v>796</v>
      </c>
      <c r="H20" s="2" t="s">
        <v>17</v>
      </c>
      <c r="I20" s="2" t="s">
        <v>786</v>
      </c>
      <c r="J20" s="2" t="s">
        <v>16</v>
      </c>
    </row>
    <row r="21" spans="1:10">
      <c r="A21" s="2" t="s">
        <v>799</v>
      </c>
      <c r="B21" s="2" t="s">
        <v>781</v>
      </c>
      <c r="C21" s="2" t="s">
        <v>782</v>
      </c>
      <c r="D21" s="2" t="s">
        <v>800</v>
      </c>
      <c r="E21" s="3">
        <v>46065.209016203706</v>
      </c>
      <c r="F21" s="2" t="s">
        <v>795</v>
      </c>
      <c r="G21" s="2" t="s">
        <v>796</v>
      </c>
      <c r="H21" s="2" t="s">
        <v>17</v>
      </c>
      <c r="I21" s="2" t="s">
        <v>786</v>
      </c>
      <c r="J21" s="2" t="s">
        <v>16</v>
      </c>
    </row>
    <row r="22" spans="1:10">
      <c r="A22" s="2" t="s">
        <v>801</v>
      </c>
      <c r="B22" s="2" t="s">
        <v>781</v>
      </c>
      <c r="C22" s="2" t="s">
        <v>782</v>
      </c>
      <c r="D22" s="2" t="s">
        <v>449</v>
      </c>
      <c r="E22" s="3">
        <v>46069.812297453806</v>
      </c>
      <c r="F22" s="2" t="s">
        <v>795</v>
      </c>
      <c r="G22" s="2" t="s">
        <v>796</v>
      </c>
      <c r="H22" s="2" t="s">
        <v>17</v>
      </c>
      <c r="I22" s="2" t="s">
        <v>786</v>
      </c>
      <c r="J22" s="2" t="s">
        <v>16</v>
      </c>
    </row>
    <row r="23" spans="1:10">
      <c r="A23" s="2" t="s">
        <v>802</v>
      </c>
      <c r="B23" s="2" t="s">
        <v>781</v>
      </c>
      <c r="C23" s="2" t="s">
        <v>782</v>
      </c>
      <c r="D23" s="2" t="s">
        <v>803</v>
      </c>
      <c r="E23" s="3">
        <v>46058.985752314817</v>
      </c>
      <c r="F23" s="2" t="s">
        <v>784</v>
      </c>
      <c r="G23" s="2" t="s">
        <v>785</v>
      </c>
      <c r="H23" s="2" t="s">
        <v>17</v>
      </c>
      <c r="I23" s="2" t="s">
        <v>786</v>
      </c>
      <c r="J23" s="2" t="s">
        <v>16</v>
      </c>
    </row>
    <row r="24" spans="1:10">
      <c r="A24" s="2" t="s">
        <v>802</v>
      </c>
      <c r="B24" s="2" t="s">
        <v>781</v>
      </c>
      <c r="C24" s="2" t="s">
        <v>782</v>
      </c>
      <c r="D24" s="2" t="s">
        <v>803</v>
      </c>
      <c r="E24" s="3">
        <v>46065.832118055558</v>
      </c>
      <c r="F24" s="2" t="s">
        <v>784</v>
      </c>
      <c r="G24" s="2" t="s">
        <v>785</v>
      </c>
      <c r="H24" s="2" t="s">
        <v>17</v>
      </c>
      <c r="I24" s="2" t="s">
        <v>786</v>
      </c>
      <c r="J24" s="2" t="s">
        <v>16</v>
      </c>
    </row>
    <row r="25" spans="1:10">
      <c r="A25" s="2" t="s">
        <v>804</v>
      </c>
      <c r="B25" s="2" t="s">
        <v>781</v>
      </c>
      <c r="C25" s="2" t="s">
        <v>782</v>
      </c>
      <c r="D25" s="2" t="s">
        <v>805</v>
      </c>
      <c r="E25" s="3">
        <v>46063.496504629627</v>
      </c>
      <c r="F25" s="2" t="s">
        <v>784</v>
      </c>
      <c r="G25" s="2" t="s">
        <v>785</v>
      </c>
      <c r="H25" s="2" t="s">
        <v>17</v>
      </c>
      <c r="I25" s="2" t="s">
        <v>786</v>
      </c>
      <c r="J25" s="2" t="s">
        <v>16</v>
      </c>
    </row>
    <row r="26" spans="1:10">
      <c r="A26" s="2" t="s">
        <v>804</v>
      </c>
      <c r="B26" s="2" t="s">
        <v>781</v>
      </c>
      <c r="C26" s="2" t="s">
        <v>782</v>
      </c>
      <c r="D26" s="2" t="s">
        <v>805</v>
      </c>
      <c r="E26" s="3">
        <v>46070.342870370368</v>
      </c>
      <c r="F26" s="2" t="s">
        <v>784</v>
      </c>
      <c r="G26" s="2" t="s">
        <v>785</v>
      </c>
      <c r="H26" s="2" t="s">
        <v>17</v>
      </c>
      <c r="I26" s="2" t="s">
        <v>786</v>
      </c>
      <c r="J26" s="2" t="s">
        <v>16</v>
      </c>
    </row>
    <row r="27" spans="1:10">
      <c r="A27" s="2" t="s">
        <v>806</v>
      </c>
      <c r="B27" s="2" t="s">
        <v>781</v>
      </c>
      <c r="C27" s="2" t="s">
        <v>782</v>
      </c>
      <c r="D27" s="2" t="s">
        <v>807</v>
      </c>
      <c r="E27" s="3">
        <v>46068.007256944446</v>
      </c>
      <c r="F27" s="2" t="s">
        <v>784</v>
      </c>
      <c r="G27" s="2" t="s">
        <v>785</v>
      </c>
      <c r="H27" s="2" t="s">
        <v>17</v>
      </c>
      <c r="I27" s="2" t="s">
        <v>786</v>
      </c>
      <c r="J27" s="2" t="s">
        <v>16</v>
      </c>
    </row>
    <row r="28" spans="1:10">
      <c r="A28" s="2" t="s">
        <v>808</v>
      </c>
      <c r="B28" s="2" t="s">
        <v>781</v>
      </c>
      <c r="C28" s="2" t="s">
        <v>782</v>
      </c>
      <c r="D28" s="2" t="s">
        <v>809</v>
      </c>
      <c r="E28" s="3">
        <v>46072.518009259256</v>
      </c>
      <c r="F28" s="2" t="s">
        <v>784</v>
      </c>
      <c r="G28" s="2" t="s">
        <v>785</v>
      </c>
      <c r="H28" s="2" t="s">
        <v>17</v>
      </c>
      <c r="I28" s="2" t="s">
        <v>786</v>
      </c>
      <c r="J28" s="2" t="s">
        <v>16</v>
      </c>
    </row>
    <row r="29" spans="1:10">
      <c r="A29" s="2" t="s">
        <v>810</v>
      </c>
      <c r="B29" s="2" t="s">
        <v>781</v>
      </c>
      <c r="C29" s="2" t="s">
        <v>782</v>
      </c>
      <c r="D29" s="2" t="s">
        <v>811</v>
      </c>
      <c r="E29" s="3">
        <v>46054.297442129631</v>
      </c>
      <c r="F29" s="2" t="s">
        <v>812</v>
      </c>
      <c r="G29" s="2" t="s">
        <v>813</v>
      </c>
      <c r="H29" s="2" t="s">
        <v>17</v>
      </c>
      <c r="I29" s="2" t="s">
        <v>786</v>
      </c>
      <c r="J29" s="2" t="s">
        <v>16</v>
      </c>
    </row>
    <row r="30" spans="1:10">
      <c r="A30" s="2" t="s">
        <v>810</v>
      </c>
      <c r="B30" s="2" t="s">
        <v>781</v>
      </c>
      <c r="C30" s="2" t="s">
        <v>782</v>
      </c>
      <c r="D30" s="2" t="s">
        <v>811</v>
      </c>
      <c r="E30" s="3">
        <v>46054.378206018519</v>
      </c>
      <c r="F30" s="2" t="s">
        <v>812</v>
      </c>
      <c r="G30" s="2" t="s">
        <v>813</v>
      </c>
      <c r="H30" s="2" t="s">
        <v>17</v>
      </c>
      <c r="I30" s="2" t="s">
        <v>786</v>
      </c>
      <c r="J30" s="2" t="s">
        <v>16</v>
      </c>
    </row>
    <row r="31" spans="1:10">
      <c r="A31" s="2" t="s">
        <v>810</v>
      </c>
      <c r="B31" s="2" t="s">
        <v>781</v>
      </c>
      <c r="C31" s="2" t="s">
        <v>782</v>
      </c>
      <c r="D31" s="2" t="s">
        <v>811</v>
      </c>
      <c r="E31" s="3">
        <v>46054.420925925922</v>
      </c>
      <c r="F31" s="2" t="s">
        <v>812</v>
      </c>
      <c r="G31" s="2" t="s">
        <v>813</v>
      </c>
      <c r="H31" s="2" t="s">
        <v>17</v>
      </c>
      <c r="I31" s="2" t="s">
        <v>786</v>
      </c>
      <c r="J31" s="2" t="s">
        <v>16</v>
      </c>
    </row>
    <row r="32" spans="1:10">
      <c r="A32" s="2" t="s">
        <v>810</v>
      </c>
      <c r="B32" s="2" t="s">
        <v>781</v>
      </c>
      <c r="C32" s="2" t="s">
        <v>782</v>
      </c>
      <c r="D32" s="2" t="s">
        <v>811</v>
      </c>
      <c r="E32" s="3">
        <v>46054.437604166669</v>
      </c>
      <c r="F32" s="2" t="s">
        <v>812</v>
      </c>
      <c r="G32" s="2" t="s">
        <v>813</v>
      </c>
      <c r="H32" s="2" t="s">
        <v>17</v>
      </c>
      <c r="I32" s="2" t="s">
        <v>786</v>
      </c>
      <c r="J32" s="2" t="s">
        <v>16</v>
      </c>
    </row>
    <row r="33" spans="1:10">
      <c r="A33" s="2" t="s">
        <v>810</v>
      </c>
      <c r="B33" s="2" t="s">
        <v>781</v>
      </c>
      <c r="C33" s="2" t="s">
        <v>782</v>
      </c>
      <c r="D33" s="2" t="s">
        <v>811</v>
      </c>
      <c r="E33" s="3">
        <v>46054.461655092593</v>
      </c>
      <c r="F33" s="2" t="s">
        <v>812</v>
      </c>
      <c r="G33" s="2" t="s">
        <v>813</v>
      </c>
      <c r="H33" s="2" t="s">
        <v>17</v>
      </c>
      <c r="I33" s="2" t="s">
        <v>786</v>
      </c>
      <c r="J33" s="2" t="s">
        <v>16</v>
      </c>
    </row>
    <row r="34" spans="1:10">
      <c r="A34" s="2" t="s">
        <v>810</v>
      </c>
      <c r="B34" s="2" t="s">
        <v>781</v>
      </c>
      <c r="C34" s="2" t="s">
        <v>782</v>
      </c>
      <c r="D34" s="2" t="s">
        <v>811</v>
      </c>
      <c r="E34" s="3">
        <v>46054.490185185183</v>
      </c>
      <c r="F34" s="2" t="s">
        <v>812</v>
      </c>
      <c r="G34" s="2" t="s">
        <v>813</v>
      </c>
      <c r="H34" s="2" t="s">
        <v>17</v>
      </c>
      <c r="I34" s="2" t="s">
        <v>786</v>
      </c>
      <c r="J34" s="2" t="s">
        <v>16</v>
      </c>
    </row>
    <row r="35" spans="1:10">
      <c r="A35" s="2" t="s">
        <v>810</v>
      </c>
      <c r="B35" s="2" t="s">
        <v>781</v>
      </c>
      <c r="C35" s="2" t="s">
        <v>782</v>
      </c>
      <c r="D35" s="2" t="s">
        <v>811</v>
      </c>
      <c r="E35" s="3">
        <v>46054.528414351851</v>
      </c>
      <c r="F35" s="2" t="s">
        <v>812</v>
      </c>
      <c r="G35" s="2" t="s">
        <v>813</v>
      </c>
      <c r="H35" s="2" t="s">
        <v>17</v>
      </c>
      <c r="I35" s="2" t="s">
        <v>786</v>
      </c>
      <c r="J35" s="2" t="s">
        <v>16</v>
      </c>
    </row>
    <row r="36" spans="1:10">
      <c r="A36" s="2" t="s">
        <v>810</v>
      </c>
      <c r="B36" s="2" t="s">
        <v>781</v>
      </c>
      <c r="C36" s="2" t="s">
        <v>782</v>
      </c>
      <c r="D36" s="2" t="s">
        <v>811</v>
      </c>
      <c r="E36" s="3">
        <v>46054.542592592596</v>
      </c>
      <c r="F36" s="2" t="s">
        <v>812</v>
      </c>
      <c r="G36" s="2" t="s">
        <v>813</v>
      </c>
      <c r="H36" s="2" t="s">
        <v>17</v>
      </c>
      <c r="I36" s="2" t="s">
        <v>786</v>
      </c>
      <c r="J36" s="2" t="s">
        <v>16</v>
      </c>
    </row>
    <row r="37" spans="1:10">
      <c r="A37" s="2" t="s">
        <v>810</v>
      </c>
      <c r="B37" s="2" t="s">
        <v>781</v>
      </c>
      <c r="C37" s="2" t="s">
        <v>782</v>
      </c>
      <c r="D37" s="2" t="s">
        <v>811</v>
      </c>
      <c r="E37" s="3">
        <v>46054.577106481483</v>
      </c>
      <c r="F37" s="2" t="s">
        <v>812</v>
      </c>
      <c r="G37" s="2" t="s">
        <v>813</v>
      </c>
      <c r="H37" s="2" t="s">
        <v>17</v>
      </c>
      <c r="I37" s="2" t="s">
        <v>786</v>
      </c>
      <c r="J37" s="2" t="s">
        <v>16</v>
      </c>
    </row>
    <row r="38" spans="1:10">
      <c r="A38" s="2" t="s">
        <v>810</v>
      </c>
      <c r="B38" s="2" t="s">
        <v>781</v>
      </c>
      <c r="C38" s="2" t="s">
        <v>782</v>
      </c>
      <c r="D38" s="2" t="s">
        <v>811</v>
      </c>
      <c r="E38" s="3">
        <v>46054.612627314818</v>
      </c>
      <c r="F38" s="2" t="s">
        <v>812</v>
      </c>
      <c r="G38" s="2" t="s">
        <v>813</v>
      </c>
      <c r="H38" s="2" t="s">
        <v>17</v>
      </c>
      <c r="I38" s="2" t="s">
        <v>786</v>
      </c>
      <c r="J38" s="2" t="s">
        <v>16</v>
      </c>
    </row>
    <row r="39" spans="1:10">
      <c r="A39" s="2" t="s">
        <v>810</v>
      </c>
      <c r="B39" s="2" t="s">
        <v>781</v>
      </c>
      <c r="C39" s="2" t="s">
        <v>782</v>
      </c>
      <c r="D39" s="2" t="s">
        <v>811</v>
      </c>
      <c r="E39" s="3">
        <v>46055.400347222225</v>
      </c>
      <c r="F39" s="2" t="s">
        <v>812</v>
      </c>
      <c r="G39" s="2" t="s">
        <v>813</v>
      </c>
      <c r="H39" s="2" t="s">
        <v>17</v>
      </c>
      <c r="I39" s="2" t="s">
        <v>786</v>
      </c>
      <c r="J39" s="2" t="s">
        <v>16</v>
      </c>
    </row>
    <row r="40" spans="1:10">
      <c r="A40" s="2" t="s">
        <v>810</v>
      </c>
      <c r="B40" s="2" t="s">
        <v>781</v>
      </c>
      <c r="C40" s="2" t="s">
        <v>782</v>
      </c>
      <c r="D40" s="2" t="s">
        <v>811</v>
      </c>
      <c r="E40" s="3">
        <v>46055.434212962966</v>
      </c>
      <c r="F40" s="2" t="s">
        <v>812</v>
      </c>
      <c r="G40" s="2" t="s">
        <v>813</v>
      </c>
      <c r="H40" s="2" t="s">
        <v>17</v>
      </c>
      <c r="I40" s="2" t="s">
        <v>786</v>
      </c>
      <c r="J40" s="2" t="s">
        <v>16</v>
      </c>
    </row>
    <row r="41" spans="1:10">
      <c r="A41" s="2" t="s">
        <v>810</v>
      </c>
      <c r="B41" s="2" t="s">
        <v>781</v>
      </c>
      <c r="C41" s="2" t="s">
        <v>782</v>
      </c>
      <c r="D41" s="2" t="s">
        <v>811</v>
      </c>
      <c r="E41" s="3">
        <v>46055.467962962961</v>
      </c>
      <c r="F41" s="2" t="s">
        <v>812</v>
      </c>
      <c r="G41" s="2" t="s">
        <v>813</v>
      </c>
      <c r="H41" s="2" t="s">
        <v>17</v>
      </c>
      <c r="I41" s="2" t="s">
        <v>786</v>
      </c>
      <c r="J41" s="2" t="s">
        <v>16</v>
      </c>
    </row>
    <row r="42" spans="1:10">
      <c r="A42" s="2" t="s">
        <v>810</v>
      </c>
      <c r="B42" s="2" t="s">
        <v>781</v>
      </c>
      <c r="C42" s="2" t="s">
        <v>782</v>
      </c>
      <c r="D42" s="2" t="s">
        <v>811</v>
      </c>
      <c r="E42" s="3">
        <v>46055.49728009259</v>
      </c>
      <c r="F42" s="2" t="s">
        <v>812</v>
      </c>
      <c r="G42" s="2" t="s">
        <v>813</v>
      </c>
      <c r="H42" s="2" t="s">
        <v>17</v>
      </c>
      <c r="I42" s="2" t="s">
        <v>786</v>
      </c>
      <c r="J42" s="2" t="s">
        <v>16</v>
      </c>
    </row>
    <row r="43" spans="1:10">
      <c r="A43" s="2" t="s">
        <v>810</v>
      </c>
      <c r="B43" s="2" t="s">
        <v>781</v>
      </c>
      <c r="C43" s="2" t="s">
        <v>782</v>
      </c>
      <c r="D43" s="2" t="s">
        <v>811</v>
      </c>
      <c r="E43" s="3">
        <v>46055.528402777774</v>
      </c>
      <c r="F43" s="2" t="s">
        <v>812</v>
      </c>
      <c r="G43" s="2" t="s">
        <v>813</v>
      </c>
      <c r="H43" s="2" t="s">
        <v>17</v>
      </c>
      <c r="I43" s="2" t="s">
        <v>786</v>
      </c>
      <c r="J43" s="2" t="s">
        <v>16</v>
      </c>
    </row>
    <row r="44" spans="1:10">
      <c r="A44" s="2" t="s">
        <v>810</v>
      </c>
      <c r="B44" s="2" t="s">
        <v>781</v>
      </c>
      <c r="C44" s="2" t="s">
        <v>782</v>
      </c>
      <c r="D44" s="2" t="s">
        <v>811</v>
      </c>
      <c r="E44" s="3">
        <v>46055.554976851854</v>
      </c>
      <c r="F44" s="2" t="s">
        <v>812</v>
      </c>
      <c r="G44" s="2" t="s">
        <v>813</v>
      </c>
      <c r="H44" s="2" t="s">
        <v>17</v>
      </c>
      <c r="I44" s="2" t="s">
        <v>786</v>
      </c>
      <c r="J44" s="2" t="s">
        <v>16</v>
      </c>
    </row>
    <row r="45" spans="1:10">
      <c r="A45" s="2" t="s">
        <v>810</v>
      </c>
      <c r="B45" s="2" t="s">
        <v>781</v>
      </c>
      <c r="C45" s="2" t="s">
        <v>782</v>
      </c>
      <c r="D45" s="2" t="s">
        <v>811</v>
      </c>
      <c r="E45" s="3">
        <v>46055.588333333333</v>
      </c>
      <c r="F45" s="2" t="s">
        <v>812</v>
      </c>
      <c r="G45" s="2" t="s">
        <v>813</v>
      </c>
      <c r="H45" s="2" t="s">
        <v>17</v>
      </c>
      <c r="I45" s="2" t="s">
        <v>786</v>
      </c>
      <c r="J45" s="2" t="s">
        <v>16</v>
      </c>
    </row>
    <row r="46" spans="1:10">
      <c r="A46" s="2" t="s">
        <v>810</v>
      </c>
      <c r="B46" s="2" t="s">
        <v>781</v>
      </c>
      <c r="C46" s="2" t="s">
        <v>782</v>
      </c>
      <c r="D46" s="2" t="s">
        <v>811</v>
      </c>
      <c r="E46" s="3">
        <v>46055.612407407411</v>
      </c>
      <c r="F46" s="2" t="s">
        <v>812</v>
      </c>
      <c r="G46" s="2" t="s">
        <v>813</v>
      </c>
      <c r="H46" s="2" t="s">
        <v>17</v>
      </c>
      <c r="I46" s="2" t="s">
        <v>786</v>
      </c>
      <c r="J46" s="2" t="s">
        <v>16</v>
      </c>
    </row>
    <row r="47" spans="1:10">
      <c r="A47" s="2" t="s">
        <v>810</v>
      </c>
      <c r="B47" s="2" t="s">
        <v>781</v>
      </c>
      <c r="C47" s="2" t="s">
        <v>782</v>
      </c>
      <c r="D47" s="2" t="s">
        <v>811</v>
      </c>
      <c r="E47" s="3">
        <v>46055.618703703702</v>
      </c>
      <c r="F47" s="2" t="s">
        <v>812</v>
      </c>
      <c r="G47" s="2" t="s">
        <v>813</v>
      </c>
      <c r="H47" s="2" t="s">
        <v>17</v>
      </c>
      <c r="I47" s="2" t="s">
        <v>786</v>
      </c>
      <c r="J47" s="2" t="s">
        <v>16</v>
      </c>
    </row>
    <row r="48" spans="1:10">
      <c r="A48" s="2" t="s">
        <v>810</v>
      </c>
      <c r="B48" s="2" t="s">
        <v>781</v>
      </c>
      <c r="C48" s="2" t="s">
        <v>782</v>
      </c>
      <c r="D48" s="2" t="s">
        <v>811</v>
      </c>
      <c r="E48" s="3">
        <v>46055.642905092594</v>
      </c>
      <c r="F48" s="2" t="s">
        <v>812</v>
      </c>
      <c r="G48" s="2" t="s">
        <v>813</v>
      </c>
      <c r="H48" s="2" t="s">
        <v>17</v>
      </c>
      <c r="I48" s="2" t="s">
        <v>786</v>
      </c>
      <c r="J48" s="2" t="s">
        <v>16</v>
      </c>
    </row>
    <row r="49" spans="1:10">
      <c r="A49" s="2" t="s">
        <v>810</v>
      </c>
      <c r="B49" s="2" t="s">
        <v>781</v>
      </c>
      <c r="C49" s="2" t="s">
        <v>782</v>
      </c>
      <c r="D49" s="2" t="s">
        <v>811</v>
      </c>
      <c r="E49" s="3">
        <v>46056.574525462966</v>
      </c>
      <c r="F49" s="2" t="s">
        <v>812</v>
      </c>
      <c r="G49" s="2" t="s">
        <v>813</v>
      </c>
      <c r="H49" s="2" t="s">
        <v>17</v>
      </c>
      <c r="I49" s="2" t="s">
        <v>786</v>
      </c>
      <c r="J49" s="2" t="s">
        <v>16</v>
      </c>
    </row>
    <row r="50" spans="1:10">
      <c r="A50" s="2" t="s">
        <v>810</v>
      </c>
      <c r="B50" s="2" t="s">
        <v>781</v>
      </c>
      <c r="C50" s="2" t="s">
        <v>782</v>
      </c>
      <c r="D50" s="2" t="s">
        <v>811</v>
      </c>
      <c r="E50" s="3">
        <v>46056.622256944444</v>
      </c>
      <c r="F50" s="2" t="s">
        <v>812</v>
      </c>
      <c r="G50" s="2" t="s">
        <v>813</v>
      </c>
      <c r="H50" s="2" t="s">
        <v>17</v>
      </c>
      <c r="I50" s="2" t="s">
        <v>786</v>
      </c>
      <c r="J50" s="2" t="s">
        <v>16</v>
      </c>
    </row>
    <row r="51" spans="1:10">
      <c r="A51" s="2" t="s">
        <v>810</v>
      </c>
      <c r="B51" s="2" t="s">
        <v>781</v>
      </c>
      <c r="C51" s="2" t="s">
        <v>782</v>
      </c>
      <c r="D51" s="2" t="s">
        <v>811</v>
      </c>
      <c r="E51" s="3">
        <v>46059.402546296296</v>
      </c>
      <c r="F51" s="2" t="s">
        <v>812</v>
      </c>
      <c r="G51" s="2" t="s">
        <v>813</v>
      </c>
      <c r="H51" s="2" t="s">
        <v>17</v>
      </c>
      <c r="I51" s="2" t="s">
        <v>786</v>
      </c>
      <c r="J51" s="2" t="s">
        <v>16</v>
      </c>
    </row>
    <row r="52" spans="1:10">
      <c r="A52" s="2" t="s">
        <v>810</v>
      </c>
      <c r="B52" s="2" t="s">
        <v>781</v>
      </c>
      <c r="C52" s="2" t="s">
        <v>782</v>
      </c>
      <c r="D52" s="2" t="s">
        <v>811</v>
      </c>
      <c r="E52" s="3">
        <v>46059.4452662037</v>
      </c>
      <c r="F52" s="2" t="s">
        <v>812</v>
      </c>
      <c r="G52" s="2" t="s">
        <v>813</v>
      </c>
      <c r="H52" s="2" t="s">
        <v>17</v>
      </c>
      <c r="I52" s="2" t="s">
        <v>786</v>
      </c>
      <c r="J52" s="2" t="s">
        <v>16</v>
      </c>
    </row>
    <row r="53" spans="1:10">
      <c r="A53" s="2" t="s">
        <v>810</v>
      </c>
      <c r="B53" s="2" t="s">
        <v>781</v>
      </c>
      <c r="C53" s="2" t="s">
        <v>782</v>
      </c>
      <c r="D53" s="2" t="s">
        <v>811</v>
      </c>
      <c r="E53" s="3">
        <v>46059.483194444445</v>
      </c>
      <c r="F53" s="2" t="s">
        <v>812</v>
      </c>
      <c r="G53" s="2" t="s">
        <v>813</v>
      </c>
      <c r="H53" s="2" t="s">
        <v>17</v>
      </c>
      <c r="I53" s="2" t="s">
        <v>786</v>
      </c>
      <c r="J53" s="2" t="s">
        <v>16</v>
      </c>
    </row>
    <row r="54" spans="1:10">
      <c r="A54" s="2" t="s">
        <v>810</v>
      </c>
      <c r="B54" s="2" t="s">
        <v>781</v>
      </c>
      <c r="C54" s="2" t="s">
        <v>782</v>
      </c>
      <c r="D54" s="2" t="s">
        <v>811</v>
      </c>
      <c r="E54" s="3">
        <v>46059.491851851853</v>
      </c>
      <c r="F54" s="2" t="s">
        <v>812</v>
      </c>
      <c r="G54" s="2" t="s">
        <v>813</v>
      </c>
      <c r="H54" s="2" t="s">
        <v>17</v>
      </c>
      <c r="I54" s="2" t="s">
        <v>786</v>
      </c>
      <c r="J54" s="2" t="s">
        <v>16</v>
      </c>
    </row>
    <row r="55" spans="1:10">
      <c r="A55" s="2" t="s">
        <v>810</v>
      </c>
      <c r="B55" s="2" t="s">
        <v>781</v>
      </c>
      <c r="C55" s="2" t="s">
        <v>782</v>
      </c>
      <c r="D55" s="2" t="s">
        <v>811</v>
      </c>
      <c r="E55" s="3">
        <v>46059.506921296299</v>
      </c>
      <c r="F55" s="2" t="s">
        <v>812</v>
      </c>
      <c r="G55" s="2" t="s">
        <v>813</v>
      </c>
      <c r="H55" s="2" t="s">
        <v>17</v>
      </c>
      <c r="I55" s="2" t="s">
        <v>786</v>
      </c>
      <c r="J55" s="2" t="s">
        <v>16</v>
      </c>
    </row>
    <row r="56" spans="1:10">
      <c r="A56" s="2" t="s">
        <v>810</v>
      </c>
      <c r="B56" s="2" t="s">
        <v>781</v>
      </c>
      <c r="C56" s="2" t="s">
        <v>782</v>
      </c>
      <c r="D56" s="2" t="s">
        <v>811</v>
      </c>
      <c r="E56" s="3">
        <v>46059.518009259256</v>
      </c>
      <c r="F56" s="2" t="s">
        <v>812</v>
      </c>
      <c r="G56" s="2" t="s">
        <v>813</v>
      </c>
      <c r="H56" s="2" t="s">
        <v>17</v>
      </c>
      <c r="I56" s="2" t="s">
        <v>786</v>
      </c>
      <c r="J56" s="2" t="s">
        <v>16</v>
      </c>
    </row>
    <row r="57" spans="1:10">
      <c r="A57" s="2" t="s">
        <v>810</v>
      </c>
      <c r="B57" s="2" t="s">
        <v>781</v>
      </c>
      <c r="C57" s="2" t="s">
        <v>782</v>
      </c>
      <c r="D57" s="2" t="s">
        <v>811</v>
      </c>
      <c r="E57" s="3">
        <v>46059.595092592594</v>
      </c>
      <c r="F57" s="2" t="s">
        <v>812</v>
      </c>
      <c r="G57" s="2" t="s">
        <v>813</v>
      </c>
      <c r="H57" s="2" t="s">
        <v>17</v>
      </c>
      <c r="I57" s="2" t="s">
        <v>786</v>
      </c>
      <c r="J57" s="2" t="s">
        <v>16</v>
      </c>
    </row>
    <row r="58" spans="1:10">
      <c r="A58" s="2" t="s">
        <v>810</v>
      </c>
      <c r="B58" s="2" t="s">
        <v>781</v>
      </c>
      <c r="C58" s="2" t="s">
        <v>782</v>
      </c>
      <c r="D58" s="2" t="s">
        <v>811</v>
      </c>
      <c r="E58" s="3">
        <v>46059.611620370371</v>
      </c>
      <c r="F58" s="2" t="s">
        <v>812</v>
      </c>
      <c r="G58" s="2" t="s">
        <v>813</v>
      </c>
      <c r="H58" s="2" t="s">
        <v>17</v>
      </c>
      <c r="I58" s="2" t="s">
        <v>786</v>
      </c>
      <c r="J58" s="2" t="s">
        <v>16</v>
      </c>
    </row>
    <row r="59" spans="1:10">
      <c r="A59" s="2" t="s">
        <v>810</v>
      </c>
      <c r="B59" s="2" t="s">
        <v>781</v>
      </c>
      <c r="C59" s="2" t="s">
        <v>782</v>
      </c>
      <c r="D59" s="2" t="s">
        <v>811</v>
      </c>
      <c r="E59" s="3">
        <v>46060.408831018518</v>
      </c>
      <c r="F59" s="2" t="s">
        <v>812</v>
      </c>
      <c r="G59" s="2" t="s">
        <v>813</v>
      </c>
      <c r="H59" s="2" t="s">
        <v>17</v>
      </c>
      <c r="I59" s="2" t="s">
        <v>786</v>
      </c>
      <c r="J59" s="2" t="s">
        <v>16</v>
      </c>
    </row>
    <row r="60" spans="1:10">
      <c r="A60" s="2" t="s">
        <v>810</v>
      </c>
      <c r="B60" s="2" t="s">
        <v>781</v>
      </c>
      <c r="C60" s="2" t="s">
        <v>782</v>
      </c>
      <c r="D60" s="2" t="s">
        <v>811</v>
      </c>
      <c r="E60" s="3">
        <v>46061.297314814816</v>
      </c>
      <c r="F60" s="2" t="s">
        <v>812</v>
      </c>
      <c r="G60" s="2" t="s">
        <v>813</v>
      </c>
      <c r="H60" s="2" t="s">
        <v>17</v>
      </c>
      <c r="I60" s="2" t="s">
        <v>786</v>
      </c>
      <c r="J60" s="2" t="s">
        <v>16</v>
      </c>
    </row>
    <row r="61" spans="1:10">
      <c r="A61" s="2" t="s">
        <v>810</v>
      </c>
      <c r="B61" s="2" t="s">
        <v>781</v>
      </c>
      <c r="C61" s="2" t="s">
        <v>782</v>
      </c>
      <c r="D61" s="2" t="s">
        <v>811</v>
      </c>
      <c r="E61" s="3">
        <v>46061.384571759256</v>
      </c>
      <c r="F61" s="2" t="s">
        <v>812</v>
      </c>
      <c r="G61" s="2" t="s">
        <v>813</v>
      </c>
      <c r="H61" s="2" t="s">
        <v>17</v>
      </c>
      <c r="I61" s="2" t="s">
        <v>786</v>
      </c>
      <c r="J61" s="2" t="s">
        <v>16</v>
      </c>
    </row>
    <row r="62" spans="1:10">
      <c r="A62" s="2" t="s">
        <v>810</v>
      </c>
      <c r="B62" s="2" t="s">
        <v>781</v>
      </c>
      <c r="C62" s="2" t="s">
        <v>782</v>
      </c>
      <c r="D62" s="2" t="s">
        <v>811</v>
      </c>
      <c r="E62" s="3">
        <v>46061.407407407409</v>
      </c>
      <c r="F62" s="2" t="s">
        <v>812</v>
      </c>
      <c r="G62" s="2" t="s">
        <v>813</v>
      </c>
      <c r="H62" s="2" t="s">
        <v>17</v>
      </c>
      <c r="I62" s="2" t="s">
        <v>786</v>
      </c>
      <c r="J62" s="2" t="s">
        <v>16</v>
      </c>
    </row>
    <row r="63" spans="1:10">
      <c r="A63" s="2" t="s">
        <v>810</v>
      </c>
      <c r="B63" s="2" t="s">
        <v>781</v>
      </c>
      <c r="C63" s="2" t="s">
        <v>782</v>
      </c>
      <c r="D63" s="2" t="s">
        <v>811</v>
      </c>
      <c r="E63" s="3">
        <v>46061.431469907409</v>
      </c>
      <c r="F63" s="2" t="s">
        <v>812</v>
      </c>
      <c r="G63" s="2" t="s">
        <v>813</v>
      </c>
      <c r="H63" s="2" t="s">
        <v>17</v>
      </c>
      <c r="I63" s="2" t="s">
        <v>786</v>
      </c>
      <c r="J63" s="2" t="s">
        <v>16</v>
      </c>
    </row>
    <row r="64" spans="1:10">
      <c r="A64" s="2" t="s">
        <v>810</v>
      </c>
      <c r="B64" s="2" t="s">
        <v>781</v>
      </c>
      <c r="C64" s="2" t="s">
        <v>782</v>
      </c>
      <c r="D64" s="2" t="s">
        <v>811</v>
      </c>
      <c r="E64" s="3">
        <v>46061.460729166669</v>
      </c>
      <c r="F64" s="2" t="s">
        <v>812</v>
      </c>
      <c r="G64" s="2" t="s">
        <v>813</v>
      </c>
      <c r="H64" s="2" t="s">
        <v>17</v>
      </c>
      <c r="I64" s="2" t="s">
        <v>786</v>
      </c>
      <c r="J64" s="2" t="s">
        <v>16</v>
      </c>
    </row>
    <row r="65" spans="1:10">
      <c r="A65" s="2" t="s">
        <v>810</v>
      </c>
      <c r="B65" s="2" t="s">
        <v>781</v>
      </c>
      <c r="C65" s="2" t="s">
        <v>782</v>
      </c>
      <c r="D65" s="2" t="s">
        <v>811</v>
      </c>
      <c r="E65" s="3">
        <v>46061.489189814813</v>
      </c>
      <c r="F65" s="2" t="s">
        <v>812</v>
      </c>
      <c r="G65" s="2" t="s">
        <v>813</v>
      </c>
      <c r="H65" s="2" t="s">
        <v>17</v>
      </c>
      <c r="I65" s="2" t="s">
        <v>786</v>
      </c>
      <c r="J65" s="2" t="s">
        <v>16</v>
      </c>
    </row>
    <row r="66" spans="1:10">
      <c r="A66" s="2" t="s">
        <v>810</v>
      </c>
      <c r="B66" s="2" t="s">
        <v>781</v>
      </c>
      <c r="C66" s="2" t="s">
        <v>782</v>
      </c>
      <c r="D66" s="2" t="s">
        <v>811</v>
      </c>
      <c r="E66" s="3">
        <v>46061.524756944447</v>
      </c>
      <c r="F66" s="2" t="s">
        <v>812</v>
      </c>
      <c r="G66" s="2" t="s">
        <v>813</v>
      </c>
      <c r="H66" s="2" t="s">
        <v>17</v>
      </c>
      <c r="I66" s="2" t="s">
        <v>786</v>
      </c>
      <c r="J66" s="2" t="s">
        <v>16</v>
      </c>
    </row>
    <row r="67" spans="1:10">
      <c r="A67" s="2" t="s">
        <v>810</v>
      </c>
      <c r="B67" s="2" t="s">
        <v>781</v>
      </c>
      <c r="C67" s="2" t="s">
        <v>782</v>
      </c>
      <c r="D67" s="2" t="s">
        <v>811</v>
      </c>
      <c r="E67" s="3">
        <v>46061.538368055553</v>
      </c>
      <c r="F67" s="2" t="s">
        <v>812</v>
      </c>
      <c r="G67" s="2" t="s">
        <v>813</v>
      </c>
      <c r="H67" s="2" t="s">
        <v>17</v>
      </c>
      <c r="I67" s="2" t="s">
        <v>786</v>
      </c>
      <c r="J67" s="2" t="s">
        <v>16</v>
      </c>
    </row>
    <row r="68" spans="1:10">
      <c r="A68" s="2" t="s">
        <v>810</v>
      </c>
      <c r="B68" s="2" t="s">
        <v>781</v>
      </c>
      <c r="C68" s="2" t="s">
        <v>782</v>
      </c>
      <c r="D68" s="2" t="s">
        <v>811</v>
      </c>
      <c r="E68" s="3">
        <v>46061.543668981481</v>
      </c>
      <c r="F68" s="2" t="s">
        <v>812</v>
      </c>
      <c r="G68" s="2" t="s">
        <v>813</v>
      </c>
      <c r="H68" s="2" t="s">
        <v>17</v>
      </c>
      <c r="I68" s="2" t="s">
        <v>786</v>
      </c>
      <c r="J68" s="2" t="s">
        <v>16</v>
      </c>
    </row>
    <row r="69" spans="1:10">
      <c r="A69" s="2" t="s">
        <v>810</v>
      </c>
      <c r="B69" s="2" t="s">
        <v>781</v>
      </c>
      <c r="C69" s="2" t="s">
        <v>782</v>
      </c>
      <c r="D69" s="2" t="s">
        <v>811</v>
      </c>
      <c r="E69" s="3">
        <v>46061.567499999997</v>
      </c>
      <c r="F69" s="2" t="s">
        <v>812</v>
      </c>
      <c r="G69" s="2" t="s">
        <v>813</v>
      </c>
      <c r="H69" s="2" t="s">
        <v>17</v>
      </c>
      <c r="I69" s="2" t="s">
        <v>786</v>
      </c>
      <c r="J69" s="2" t="s">
        <v>16</v>
      </c>
    </row>
    <row r="70" spans="1:10">
      <c r="A70" s="2" t="s">
        <v>810</v>
      </c>
      <c r="B70" s="2" t="s">
        <v>781</v>
      </c>
      <c r="C70" s="2" t="s">
        <v>782</v>
      </c>
      <c r="D70" s="2" t="s">
        <v>811</v>
      </c>
      <c r="E70" s="3">
        <v>46062.38925925926</v>
      </c>
      <c r="F70" s="2" t="s">
        <v>812</v>
      </c>
      <c r="G70" s="2" t="s">
        <v>813</v>
      </c>
      <c r="H70" s="2" t="s">
        <v>17</v>
      </c>
      <c r="I70" s="2" t="s">
        <v>786</v>
      </c>
      <c r="J70" s="2" t="s">
        <v>16</v>
      </c>
    </row>
    <row r="71" spans="1:10">
      <c r="A71" s="2" t="s">
        <v>810</v>
      </c>
      <c r="B71" s="2" t="s">
        <v>781</v>
      </c>
      <c r="C71" s="2" t="s">
        <v>782</v>
      </c>
      <c r="D71" s="2" t="s">
        <v>811</v>
      </c>
      <c r="E71" s="3">
        <v>46062.424953703703</v>
      </c>
      <c r="F71" s="2" t="s">
        <v>812</v>
      </c>
      <c r="G71" s="2" t="s">
        <v>813</v>
      </c>
      <c r="H71" s="2" t="s">
        <v>17</v>
      </c>
      <c r="I71" s="2" t="s">
        <v>786</v>
      </c>
      <c r="J71" s="2" t="s">
        <v>16</v>
      </c>
    </row>
    <row r="72" spans="1:10">
      <c r="A72" s="2" t="s">
        <v>810</v>
      </c>
      <c r="B72" s="2" t="s">
        <v>781</v>
      </c>
      <c r="C72" s="2" t="s">
        <v>782</v>
      </c>
      <c r="D72" s="2" t="s">
        <v>811</v>
      </c>
      <c r="E72" s="3">
        <v>46062.457569444443</v>
      </c>
      <c r="F72" s="2" t="s">
        <v>812</v>
      </c>
      <c r="G72" s="2" t="s">
        <v>813</v>
      </c>
      <c r="H72" s="2" t="s">
        <v>17</v>
      </c>
      <c r="I72" s="2" t="s">
        <v>786</v>
      </c>
      <c r="J72" s="2" t="s">
        <v>16</v>
      </c>
    </row>
    <row r="73" spans="1:10">
      <c r="A73" s="2" t="s">
        <v>810</v>
      </c>
      <c r="B73" s="2" t="s">
        <v>781</v>
      </c>
      <c r="C73" s="2" t="s">
        <v>782</v>
      </c>
      <c r="D73" s="2" t="s">
        <v>811</v>
      </c>
      <c r="E73" s="3">
        <v>46062.504016203704</v>
      </c>
      <c r="F73" s="2" t="s">
        <v>812</v>
      </c>
      <c r="G73" s="2" t="s">
        <v>813</v>
      </c>
      <c r="H73" s="2" t="s">
        <v>17</v>
      </c>
      <c r="I73" s="2" t="s">
        <v>786</v>
      </c>
      <c r="J73" s="2" t="s">
        <v>16</v>
      </c>
    </row>
    <row r="74" spans="1:10">
      <c r="A74" s="2" t="s">
        <v>810</v>
      </c>
      <c r="B74" s="2" t="s">
        <v>781</v>
      </c>
      <c r="C74" s="2" t="s">
        <v>782</v>
      </c>
      <c r="D74" s="2" t="s">
        <v>811</v>
      </c>
      <c r="E74" s="3">
        <v>46062.53460648148</v>
      </c>
      <c r="F74" s="2" t="s">
        <v>812</v>
      </c>
      <c r="G74" s="2" t="s">
        <v>813</v>
      </c>
      <c r="H74" s="2" t="s">
        <v>17</v>
      </c>
      <c r="I74" s="2" t="s">
        <v>786</v>
      </c>
      <c r="J74" s="2" t="s">
        <v>16</v>
      </c>
    </row>
    <row r="75" spans="1:10">
      <c r="A75" s="2" t="s">
        <v>810</v>
      </c>
      <c r="B75" s="2" t="s">
        <v>781</v>
      </c>
      <c r="C75" s="2" t="s">
        <v>782</v>
      </c>
      <c r="D75" s="2" t="s">
        <v>811</v>
      </c>
      <c r="E75" s="3">
        <v>46062.558599537035</v>
      </c>
      <c r="F75" s="2" t="s">
        <v>812</v>
      </c>
      <c r="G75" s="2" t="s">
        <v>813</v>
      </c>
      <c r="H75" s="2" t="s">
        <v>17</v>
      </c>
      <c r="I75" s="2" t="s">
        <v>786</v>
      </c>
      <c r="J75" s="2" t="s">
        <v>16</v>
      </c>
    </row>
    <row r="76" spans="1:10">
      <c r="A76" s="2" t="s">
        <v>810</v>
      </c>
      <c r="B76" s="2" t="s">
        <v>781</v>
      </c>
      <c r="C76" s="2" t="s">
        <v>782</v>
      </c>
      <c r="D76" s="2" t="s">
        <v>811</v>
      </c>
      <c r="E76" s="3">
        <v>46062.571493055555</v>
      </c>
      <c r="F76" s="2" t="s">
        <v>812</v>
      </c>
      <c r="G76" s="2" t="s">
        <v>813</v>
      </c>
      <c r="H76" s="2" t="s">
        <v>17</v>
      </c>
      <c r="I76" s="2" t="s">
        <v>786</v>
      </c>
      <c r="J76" s="2" t="s">
        <v>16</v>
      </c>
    </row>
    <row r="77" spans="1:10">
      <c r="A77" s="2" t="s">
        <v>810</v>
      </c>
      <c r="B77" s="2" t="s">
        <v>781</v>
      </c>
      <c r="C77" s="2" t="s">
        <v>782</v>
      </c>
      <c r="D77" s="2" t="s">
        <v>811</v>
      </c>
      <c r="E77" s="3">
        <v>46062.599004629628</v>
      </c>
      <c r="F77" s="2" t="s">
        <v>812</v>
      </c>
      <c r="G77" s="2" t="s">
        <v>813</v>
      </c>
      <c r="H77" s="2" t="s">
        <v>17</v>
      </c>
      <c r="I77" s="2" t="s">
        <v>786</v>
      </c>
      <c r="J77" s="2" t="s">
        <v>16</v>
      </c>
    </row>
    <row r="78" spans="1:10">
      <c r="A78" s="2" t="s">
        <v>810</v>
      </c>
      <c r="B78" s="2" t="s">
        <v>781</v>
      </c>
      <c r="C78" s="2" t="s">
        <v>782</v>
      </c>
      <c r="D78" s="2" t="s">
        <v>811</v>
      </c>
      <c r="E78" s="3">
        <v>46063.609305555554</v>
      </c>
      <c r="F78" s="2" t="s">
        <v>812</v>
      </c>
      <c r="G78" s="2" t="s">
        <v>813</v>
      </c>
      <c r="H78" s="2" t="s">
        <v>17</v>
      </c>
      <c r="I78" s="2" t="s">
        <v>786</v>
      </c>
      <c r="J78" s="2" t="s">
        <v>16</v>
      </c>
    </row>
    <row r="79" spans="1:10">
      <c r="A79" s="2" t="s">
        <v>810</v>
      </c>
      <c r="B79" s="2" t="s">
        <v>781</v>
      </c>
      <c r="C79" s="2" t="s">
        <v>782</v>
      </c>
      <c r="D79" s="2" t="s">
        <v>811</v>
      </c>
      <c r="E79" s="3">
        <v>46063.616122685184</v>
      </c>
      <c r="F79" s="2" t="s">
        <v>812</v>
      </c>
      <c r="G79" s="2" t="s">
        <v>813</v>
      </c>
      <c r="H79" s="2" t="s">
        <v>17</v>
      </c>
      <c r="I79" s="2" t="s">
        <v>786</v>
      </c>
      <c r="J79" s="2" t="s">
        <v>16</v>
      </c>
    </row>
    <row r="80" spans="1:10">
      <c r="A80" s="2" t="s">
        <v>810</v>
      </c>
      <c r="B80" s="2" t="s">
        <v>781</v>
      </c>
      <c r="C80" s="2" t="s">
        <v>782</v>
      </c>
      <c r="D80" s="2" t="s">
        <v>811</v>
      </c>
      <c r="E80" s="3">
        <v>46063.768472222226</v>
      </c>
      <c r="F80" s="2" t="s">
        <v>812</v>
      </c>
      <c r="G80" s="2" t="s">
        <v>813</v>
      </c>
      <c r="H80" s="2" t="s">
        <v>17</v>
      </c>
      <c r="I80" s="2" t="s">
        <v>786</v>
      </c>
      <c r="J80" s="2" t="s">
        <v>16</v>
      </c>
    </row>
    <row r="81" spans="1:10">
      <c r="A81" s="2" t="s">
        <v>810</v>
      </c>
      <c r="B81" s="2" t="s">
        <v>781</v>
      </c>
      <c r="C81" s="2" t="s">
        <v>782</v>
      </c>
      <c r="D81" s="2" t="s">
        <v>811</v>
      </c>
      <c r="E81" s="3">
        <v>46063.788807870369</v>
      </c>
      <c r="F81" s="2" t="s">
        <v>812</v>
      </c>
      <c r="G81" s="2" t="s">
        <v>813</v>
      </c>
      <c r="H81" s="2" t="s">
        <v>17</v>
      </c>
      <c r="I81" s="2" t="s">
        <v>786</v>
      </c>
      <c r="J81" s="2" t="s">
        <v>16</v>
      </c>
    </row>
    <row r="82" spans="1:10">
      <c r="A82" s="2" t="s">
        <v>810</v>
      </c>
      <c r="B82" s="2" t="s">
        <v>781</v>
      </c>
      <c r="C82" s="2" t="s">
        <v>782</v>
      </c>
      <c r="D82" s="2" t="s">
        <v>811</v>
      </c>
      <c r="E82" s="3">
        <v>46063.823148148149</v>
      </c>
      <c r="F82" s="2" t="s">
        <v>812</v>
      </c>
      <c r="G82" s="2" t="s">
        <v>813</v>
      </c>
      <c r="H82" s="2" t="s">
        <v>17</v>
      </c>
      <c r="I82" s="2" t="s">
        <v>786</v>
      </c>
      <c r="J82" s="2" t="s">
        <v>16</v>
      </c>
    </row>
    <row r="83" spans="1:10">
      <c r="A83" s="2" t="s">
        <v>810</v>
      </c>
      <c r="B83" s="2" t="s">
        <v>781</v>
      </c>
      <c r="C83" s="2" t="s">
        <v>782</v>
      </c>
      <c r="D83" s="2" t="s">
        <v>811</v>
      </c>
      <c r="E83" s="3">
        <v>46063.864259259259</v>
      </c>
      <c r="F83" s="2" t="s">
        <v>812</v>
      </c>
      <c r="G83" s="2" t="s">
        <v>813</v>
      </c>
      <c r="H83" s="2" t="s">
        <v>17</v>
      </c>
      <c r="I83" s="2" t="s">
        <v>786</v>
      </c>
      <c r="J83" s="2" t="s">
        <v>16</v>
      </c>
    </row>
    <row r="84" spans="1:10">
      <c r="A84" s="2" t="s">
        <v>810</v>
      </c>
      <c r="B84" s="2" t="s">
        <v>781</v>
      </c>
      <c r="C84" s="2" t="s">
        <v>782</v>
      </c>
      <c r="D84" s="2" t="s">
        <v>811</v>
      </c>
      <c r="E84" s="3">
        <v>46063.882824074077</v>
      </c>
      <c r="F84" s="2" t="s">
        <v>812</v>
      </c>
      <c r="G84" s="2" t="s">
        <v>813</v>
      </c>
      <c r="H84" s="2" t="s">
        <v>17</v>
      </c>
      <c r="I84" s="2" t="s">
        <v>786</v>
      </c>
      <c r="J84" s="2" t="s">
        <v>16</v>
      </c>
    </row>
    <row r="85" spans="1:10">
      <c r="A85" s="2" t="s">
        <v>810</v>
      </c>
      <c r="B85" s="2" t="s">
        <v>781</v>
      </c>
      <c r="C85" s="2" t="s">
        <v>782</v>
      </c>
      <c r="D85" s="2" t="s">
        <v>811</v>
      </c>
      <c r="E85" s="3">
        <v>46063.895787037036</v>
      </c>
      <c r="F85" s="2" t="s">
        <v>812</v>
      </c>
      <c r="G85" s="2" t="s">
        <v>813</v>
      </c>
      <c r="H85" s="2" t="s">
        <v>17</v>
      </c>
      <c r="I85" s="2" t="s">
        <v>786</v>
      </c>
      <c r="J85" s="2" t="s">
        <v>16</v>
      </c>
    </row>
    <row r="86" spans="1:10">
      <c r="A86" s="2" t="s">
        <v>810</v>
      </c>
      <c r="B86" s="2" t="s">
        <v>781</v>
      </c>
      <c r="C86" s="2" t="s">
        <v>782</v>
      </c>
      <c r="D86" s="2" t="s">
        <v>811</v>
      </c>
      <c r="E86" s="3">
        <v>46063.923090277778</v>
      </c>
      <c r="F86" s="2" t="s">
        <v>812</v>
      </c>
      <c r="G86" s="2" t="s">
        <v>813</v>
      </c>
      <c r="H86" s="2" t="s">
        <v>17</v>
      </c>
      <c r="I86" s="2" t="s">
        <v>786</v>
      </c>
      <c r="J86" s="2" t="s">
        <v>16</v>
      </c>
    </row>
    <row r="87" spans="1:10">
      <c r="A87" s="2" t="s">
        <v>810</v>
      </c>
      <c r="B87" s="2" t="s">
        <v>781</v>
      </c>
      <c r="C87" s="2" t="s">
        <v>782</v>
      </c>
      <c r="D87" s="2" t="s">
        <v>811</v>
      </c>
      <c r="E87" s="3">
        <v>46063.977766203701</v>
      </c>
      <c r="F87" s="2" t="s">
        <v>812</v>
      </c>
      <c r="G87" s="2" t="s">
        <v>813</v>
      </c>
      <c r="H87" s="2" t="s">
        <v>17</v>
      </c>
      <c r="I87" s="2" t="s">
        <v>786</v>
      </c>
      <c r="J87" s="2" t="s">
        <v>16</v>
      </c>
    </row>
    <row r="88" spans="1:10">
      <c r="A88" s="2" t="s">
        <v>810</v>
      </c>
      <c r="B88" s="2" t="s">
        <v>781</v>
      </c>
      <c r="C88" s="2" t="s">
        <v>782</v>
      </c>
      <c r="D88" s="2" t="s">
        <v>811</v>
      </c>
      <c r="E88" s="3">
        <v>46064.0078125</v>
      </c>
      <c r="F88" s="2" t="s">
        <v>812</v>
      </c>
      <c r="G88" s="2" t="s">
        <v>813</v>
      </c>
      <c r="H88" s="2" t="s">
        <v>17</v>
      </c>
      <c r="I88" s="2" t="s">
        <v>786</v>
      </c>
      <c r="J88" s="2" t="s">
        <v>16</v>
      </c>
    </row>
    <row r="89" spans="1:10">
      <c r="A89" s="2" t="s">
        <v>810</v>
      </c>
      <c r="B89" s="2" t="s">
        <v>781</v>
      </c>
      <c r="C89" s="2" t="s">
        <v>782</v>
      </c>
      <c r="D89" s="2" t="s">
        <v>811</v>
      </c>
      <c r="E89" s="3">
        <v>46065.766215277778</v>
      </c>
      <c r="F89" s="2" t="s">
        <v>812</v>
      </c>
      <c r="G89" s="2" t="s">
        <v>813</v>
      </c>
      <c r="H89" s="2" t="s">
        <v>17</v>
      </c>
      <c r="I89" s="2" t="s">
        <v>786</v>
      </c>
      <c r="J89" s="2" t="s">
        <v>16</v>
      </c>
    </row>
    <row r="90" spans="1:10">
      <c r="A90" s="2" t="s">
        <v>810</v>
      </c>
      <c r="B90" s="2" t="s">
        <v>781</v>
      </c>
      <c r="C90" s="2" t="s">
        <v>782</v>
      </c>
      <c r="D90" s="2" t="s">
        <v>811</v>
      </c>
      <c r="E90" s="3">
        <v>46065.798159722224</v>
      </c>
      <c r="F90" s="2" t="s">
        <v>812</v>
      </c>
      <c r="G90" s="2" t="s">
        <v>813</v>
      </c>
      <c r="H90" s="2" t="s">
        <v>17</v>
      </c>
      <c r="I90" s="2" t="s">
        <v>786</v>
      </c>
      <c r="J90" s="2" t="s">
        <v>16</v>
      </c>
    </row>
    <row r="91" spans="1:10">
      <c r="A91" s="2" t="s">
        <v>810</v>
      </c>
      <c r="B91" s="2" t="s">
        <v>781</v>
      </c>
      <c r="C91" s="2" t="s">
        <v>782</v>
      </c>
      <c r="D91" s="2" t="s">
        <v>811</v>
      </c>
      <c r="E91" s="3">
        <v>46065.831145833334</v>
      </c>
      <c r="F91" s="2" t="s">
        <v>812</v>
      </c>
      <c r="G91" s="2" t="s">
        <v>813</v>
      </c>
      <c r="H91" s="2" t="s">
        <v>17</v>
      </c>
      <c r="I91" s="2" t="s">
        <v>786</v>
      </c>
      <c r="J91" s="2" t="s">
        <v>16</v>
      </c>
    </row>
    <row r="92" spans="1:10">
      <c r="A92" s="2" t="s">
        <v>810</v>
      </c>
      <c r="B92" s="2" t="s">
        <v>781</v>
      </c>
      <c r="C92" s="2" t="s">
        <v>782</v>
      </c>
      <c r="D92" s="2" t="s">
        <v>811</v>
      </c>
      <c r="E92" s="3">
        <v>46065.856944444444</v>
      </c>
      <c r="F92" s="2" t="s">
        <v>812</v>
      </c>
      <c r="G92" s="2" t="s">
        <v>813</v>
      </c>
      <c r="H92" s="2" t="s">
        <v>17</v>
      </c>
      <c r="I92" s="2" t="s">
        <v>786</v>
      </c>
      <c r="J92" s="2" t="s">
        <v>16</v>
      </c>
    </row>
    <row r="93" spans="1:10">
      <c r="A93" s="2" t="s">
        <v>810</v>
      </c>
      <c r="B93" s="2" t="s">
        <v>781</v>
      </c>
      <c r="C93" s="2" t="s">
        <v>782</v>
      </c>
      <c r="D93" s="2" t="s">
        <v>811</v>
      </c>
      <c r="E93" s="3">
        <v>46065.870335648149</v>
      </c>
      <c r="F93" s="2" t="s">
        <v>812</v>
      </c>
      <c r="G93" s="2" t="s">
        <v>813</v>
      </c>
      <c r="H93" s="2" t="s">
        <v>17</v>
      </c>
      <c r="I93" s="2" t="s">
        <v>786</v>
      </c>
      <c r="J93" s="2" t="s">
        <v>16</v>
      </c>
    </row>
    <row r="94" spans="1:10">
      <c r="A94" s="2" t="s">
        <v>810</v>
      </c>
      <c r="B94" s="2" t="s">
        <v>781</v>
      </c>
      <c r="C94" s="2" t="s">
        <v>782</v>
      </c>
      <c r="D94" s="2" t="s">
        <v>811</v>
      </c>
      <c r="E94" s="3">
        <v>46065.918842592589</v>
      </c>
      <c r="F94" s="2" t="s">
        <v>812</v>
      </c>
      <c r="G94" s="2" t="s">
        <v>813</v>
      </c>
      <c r="H94" s="2" t="s">
        <v>17</v>
      </c>
      <c r="I94" s="2" t="s">
        <v>786</v>
      </c>
      <c r="J94" s="2" t="s">
        <v>16</v>
      </c>
    </row>
    <row r="95" spans="1:10">
      <c r="A95" s="2" t="s">
        <v>810</v>
      </c>
      <c r="B95" s="2" t="s">
        <v>781</v>
      </c>
      <c r="C95" s="2" t="s">
        <v>782</v>
      </c>
      <c r="D95" s="2" t="s">
        <v>811</v>
      </c>
      <c r="E95" s="3">
        <v>46065.931956018518</v>
      </c>
      <c r="F95" s="2" t="s">
        <v>812</v>
      </c>
      <c r="G95" s="2" t="s">
        <v>813</v>
      </c>
      <c r="H95" s="2" t="s">
        <v>17</v>
      </c>
      <c r="I95" s="2" t="s">
        <v>786</v>
      </c>
      <c r="J95" s="2" t="s">
        <v>16</v>
      </c>
    </row>
    <row r="96" spans="1:10">
      <c r="A96" s="2" t="s">
        <v>810</v>
      </c>
      <c r="B96" s="2" t="s">
        <v>781</v>
      </c>
      <c r="C96" s="2" t="s">
        <v>782</v>
      </c>
      <c r="D96" s="2" t="s">
        <v>811</v>
      </c>
      <c r="E96" s="3">
        <v>46065.963379629633</v>
      </c>
      <c r="F96" s="2" t="s">
        <v>812</v>
      </c>
      <c r="G96" s="2" t="s">
        <v>813</v>
      </c>
      <c r="H96" s="2" t="s">
        <v>17</v>
      </c>
      <c r="I96" s="2" t="s">
        <v>786</v>
      </c>
      <c r="J96" s="2" t="s">
        <v>16</v>
      </c>
    </row>
    <row r="97" spans="1:10">
      <c r="A97" s="2" t="s">
        <v>810</v>
      </c>
      <c r="B97" s="2" t="s">
        <v>781</v>
      </c>
      <c r="C97" s="2" t="s">
        <v>782</v>
      </c>
      <c r="D97" s="2" t="s">
        <v>811</v>
      </c>
      <c r="E97" s="3">
        <v>46065.983472222222</v>
      </c>
      <c r="F97" s="2" t="s">
        <v>812</v>
      </c>
      <c r="G97" s="2" t="s">
        <v>813</v>
      </c>
      <c r="H97" s="2" t="s">
        <v>17</v>
      </c>
      <c r="I97" s="2" t="s">
        <v>786</v>
      </c>
      <c r="J97" s="2" t="s">
        <v>16</v>
      </c>
    </row>
    <row r="98" spans="1:10">
      <c r="A98" s="2" t="s">
        <v>810</v>
      </c>
      <c r="B98" s="2" t="s">
        <v>781</v>
      </c>
      <c r="C98" s="2" t="s">
        <v>782</v>
      </c>
      <c r="D98" s="2" t="s">
        <v>811</v>
      </c>
      <c r="E98" s="3">
        <v>46066.039537037039</v>
      </c>
      <c r="F98" s="2" t="s">
        <v>812</v>
      </c>
      <c r="G98" s="2" t="s">
        <v>813</v>
      </c>
      <c r="H98" s="2" t="s">
        <v>17</v>
      </c>
      <c r="I98" s="2" t="s">
        <v>786</v>
      </c>
      <c r="J98" s="2" t="s">
        <v>16</v>
      </c>
    </row>
    <row r="99" spans="1:10">
      <c r="A99" s="2" t="s">
        <v>810</v>
      </c>
      <c r="B99" s="2" t="s">
        <v>781</v>
      </c>
      <c r="C99" s="2" t="s">
        <v>782</v>
      </c>
      <c r="D99" s="2" t="s">
        <v>811</v>
      </c>
      <c r="E99" s="3">
        <v>46066.060023148151</v>
      </c>
      <c r="F99" s="2" t="s">
        <v>795</v>
      </c>
      <c r="G99" s="2" t="s">
        <v>796</v>
      </c>
      <c r="H99" s="2" t="s">
        <v>17</v>
      </c>
      <c r="I99" s="2" t="s">
        <v>786</v>
      </c>
      <c r="J99" s="2" t="s">
        <v>16</v>
      </c>
    </row>
    <row r="100" spans="1:10">
      <c r="A100" s="2" t="s">
        <v>810</v>
      </c>
      <c r="B100" s="2" t="s">
        <v>781</v>
      </c>
      <c r="C100" s="2" t="s">
        <v>782</v>
      </c>
      <c r="D100" s="2" t="s">
        <v>811</v>
      </c>
      <c r="E100" s="3">
        <v>46066.783263888887</v>
      </c>
      <c r="F100" s="2" t="s">
        <v>812</v>
      </c>
      <c r="G100" s="2" t="s">
        <v>813</v>
      </c>
      <c r="H100" s="2" t="s">
        <v>17</v>
      </c>
      <c r="I100" s="2" t="s">
        <v>786</v>
      </c>
      <c r="J100" s="2" t="s">
        <v>16</v>
      </c>
    </row>
    <row r="101" spans="1:10">
      <c r="A101" s="2" t="s">
        <v>810</v>
      </c>
      <c r="B101" s="2" t="s">
        <v>781</v>
      </c>
      <c r="C101" s="2" t="s">
        <v>782</v>
      </c>
      <c r="D101" s="2" t="s">
        <v>811</v>
      </c>
      <c r="E101" s="3">
        <v>46066.826180555552</v>
      </c>
      <c r="F101" s="2" t="s">
        <v>812</v>
      </c>
      <c r="G101" s="2" t="s">
        <v>813</v>
      </c>
      <c r="H101" s="2" t="s">
        <v>17</v>
      </c>
      <c r="I101" s="2" t="s">
        <v>786</v>
      </c>
      <c r="J101" s="2" t="s">
        <v>16</v>
      </c>
    </row>
    <row r="102" spans="1:10">
      <c r="A102" s="2" t="s">
        <v>810</v>
      </c>
      <c r="B102" s="2" t="s">
        <v>781</v>
      </c>
      <c r="C102" s="2" t="s">
        <v>782</v>
      </c>
      <c r="D102" s="2" t="s">
        <v>811</v>
      </c>
      <c r="E102" s="3">
        <v>46066.857905092591</v>
      </c>
      <c r="F102" s="2" t="s">
        <v>812</v>
      </c>
      <c r="G102" s="2" t="s">
        <v>813</v>
      </c>
      <c r="H102" s="2" t="s">
        <v>17</v>
      </c>
      <c r="I102" s="2" t="s">
        <v>786</v>
      </c>
      <c r="J102" s="2" t="s">
        <v>16</v>
      </c>
    </row>
    <row r="103" spans="1:10">
      <c r="A103" s="2" t="s">
        <v>810</v>
      </c>
      <c r="B103" s="2" t="s">
        <v>781</v>
      </c>
      <c r="C103" s="2" t="s">
        <v>782</v>
      </c>
      <c r="D103" s="2" t="s">
        <v>811</v>
      </c>
      <c r="E103" s="3">
        <v>46066.896944444445</v>
      </c>
      <c r="F103" s="2" t="s">
        <v>812</v>
      </c>
      <c r="G103" s="2" t="s">
        <v>813</v>
      </c>
      <c r="H103" s="2" t="s">
        <v>17</v>
      </c>
      <c r="I103" s="2" t="s">
        <v>786</v>
      </c>
      <c r="J103" s="2" t="s">
        <v>16</v>
      </c>
    </row>
    <row r="104" spans="1:10">
      <c r="A104" s="2" t="s">
        <v>810</v>
      </c>
      <c r="B104" s="2" t="s">
        <v>781</v>
      </c>
      <c r="C104" s="2" t="s">
        <v>782</v>
      </c>
      <c r="D104" s="2" t="s">
        <v>811</v>
      </c>
      <c r="E104" s="3">
        <v>46066.933240740742</v>
      </c>
      <c r="F104" s="2" t="s">
        <v>812</v>
      </c>
      <c r="G104" s="2" t="s">
        <v>813</v>
      </c>
      <c r="H104" s="2" t="s">
        <v>17</v>
      </c>
      <c r="I104" s="2" t="s">
        <v>786</v>
      </c>
      <c r="J104" s="2" t="s">
        <v>16</v>
      </c>
    </row>
    <row r="105" spans="1:10">
      <c r="A105" s="2" t="s">
        <v>810</v>
      </c>
      <c r="B105" s="2" t="s">
        <v>781</v>
      </c>
      <c r="C105" s="2" t="s">
        <v>782</v>
      </c>
      <c r="D105" s="2" t="s">
        <v>811</v>
      </c>
      <c r="E105" s="3">
        <v>46066.965613425928</v>
      </c>
      <c r="F105" s="2" t="s">
        <v>812</v>
      </c>
      <c r="G105" s="2" t="s">
        <v>813</v>
      </c>
      <c r="H105" s="2" t="s">
        <v>17</v>
      </c>
      <c r="I105" s="2" t="s">
        <v>786</v>
      </c>
      <c r="J105" s="2" t="s">
        <v>16</v>
      </c>
    </row>
    <row r="106" spans="1:10">
      <c r="A106" s="2" t="s">
        <v>810</v>
      </c>
      <c r="B106" s="2" t="s">
        <v>781</v>
      </c>
      <c r="C106" s="2" t="s">
        <v>782</v>
      </c>
      <c r="D106" s="2" t="s">
        <v>811</v>
      </c>
      <c r="E106" s="3">
        <v>46067.007511574076</v>
      </c>
      <c r="F106" s="2" t="s">
        <v>812</v>
      </c>
      <c r="G106" s="2" t="s">
        <v>813</v>
      </c>
      <c r="H106" s="2" t="s">
        <v>17</v>
      </c>
      <c r="I106" s="2" t="s">
        <v>786</v>
      </c>
      <c r="J106" s="2" t="s">
        <v>16</v>
      </c>
    </row>
    <row r="107" spans="1:10">
      <c r="A107" s="2" t="s">
        <v>810</v>
      </c>
      <c r="B107" s="2" t="s">
        <v>781</v>
      </c>
      <c r="C107" s="2" t="s">
        <v>782</v>
      </c>
      <c r="D107" s="2" t="s">
        <v>811</v>
      </c>
      <c r="E107" s="3">
        <v>46067.026666666665</v>
      </c>
      <c r="F107" s="2" t="s">
        <v>812</v>
      </c>
      <c r="G107" s="2" t="s">
        <v>813</v>
      </c>
      <c r="H107" s="2" t="s">
        <v>17</v>
      </c>
      <c r="I107" s="2" t="s">
        <v>786</v>
      </c>
      <c r="J107" s="2" t="s">
        <v>16</v>
      </c>
    </row>
    <row r="108" spans="1:10">
      <c r="A108" s="2" t="s">
        <v>810</v>
      </c>
      <c r="B108" s="2" t="s">
        <v>781</v>
      </c>
      <c r="C108" s="2" t="s">
        <v>782</v>
      </c>
      <c r="D108" s="2" t="s">
        <v>811</v>
      </c>
      <c r="E108" s="3">
        <v>46067.035162037035</v>
      </c>
      <c r="F108" s="2" t="s">
        <v>812</v>
      </c>
      <c r="G108" s="2" t="s">
        <v>813</v>
      </c>
      <c r="H108" s="2" t="s">
        <v>17</v>
      </c>
      <c r="I108" s="2" t="s">
        <v>786</v>
      </c>
      <c r="J108" s="2" t="s">
        <v>16</v>
      </c>
    </row>
    <row r="109" spans="1:10">
      <c r="A109" s="2" t="s">
        <v>810</v>
      </c>
      <c r="B109" s="2" t="s">
        <v>781</v>
      </c>
      <c r="C109" s="2" t="s">
        <v>782</v>
      </c>
      <c r="D109" s="2" t="s">
        <v>811</v>
      </c>
      <c r="E109" s="3">
        <v>46067.800092592595</v>
      </c>
      <c r="F109" s="2" t="s">
        <v>812</v>
      </c>
      <c r="G109" s="2" t="s">
        <v>813</v>
      </c>
      <c r="H109" s="2" t="s">
        <v>17</v>
      </c>
      <c r="I109" s="2" t="s">
        <v>786</v>
      </c>
      <c r="J109" s="2" t="s">
        <v>16</v>
      </c>
    </row>
    <row r="110" spans="1:10">
      <c r="A110" s="2" t="s">
        <v>810</v>
      </c>
      <c r="B110" s="2" t="s">
        <v>781</v>
      </c>
      <c r="C110" s="2" t="s">
        <v>782</v>
      </c>
      <c r="D110" s="2" t="s">
        <v>811</v>
      </c>
      <c r="E110" s="3">
        <v>46070.750821759262</v>
      </c>
      <c r="F110" s="2" t="s">
        <v>812</v>
      </c>
      <c r="G110" s="2" t="s">
        <v>813</v>
      </c>
      <c r="H110" s="2" t="s">
        <v>17</v>
      </c>
      <c r="I110" s="2" t="s">
        <v>786</v>
      </c>
      <c r="J110" s="2" t="s">
        <v>16</v>
      </c>
    </row>
    <row r="111" spans="1:10">
      <c r="A111" s="2" t="s">
        <v>810</v>
      </c>
      <c r="B111" s="2" t="s">
        <v>781</v>
      </c>
      <c r="C111" s="2" t="s">
        <v>782</v>
      </c>
      <c r="D111" s="2" t="s">
        <v>811</v>
      </c>
      <c r="E111" s="3">
        <v>46070.764884259261</v>
      </c>
      <c r="F111" s="2" t="s">
        <v>812</v>
      </c>
      <c r="G111" s="2" t="s">
        <v>813</v>
      </c>
      <c r="H111" s="2" t="s">
        <v>17</v>
      </c>
      <c r="I111" s="2" t="s">
        <v>786</v>
      </c>
      <c r="J111" s="2" t="s">
        <v>16</v>
      </c>
    </row>
    <row r="112" spans="1:10">
      <c r="A112" s="2" t="s">
        <v>810</v>
      </c>
      <c r="B112" s="2" t="s">
        <v>781</v>
      </c>
      <c r="C112" s="2" t="s">
        <v>782</v>
      </c>
      <c r="D112" s="2" t="s">
        <v>811</v>
      </c>
      <c r="E112" s="3">
        <v>46070.779768518521</v>
      </c>
      <c r="F112" s="2" t="s">
        <v>812</v>
      </c>
      <c r="G112" s="2" t="s">
        <v>813</v>
      </c>
      <c r="H112" s="2" t="s">
        <v>17</v>
      </c>
      <c r="I112" s="2" t="s">
        <v>786</v>
      </c>
      <c r="J112" s="2" t="s">
        <v>16</v>
      </c>
    </row>
    <row r="113" spans="1:10">
      <c r="A113" s="2" t="s">
        <v>810</v>
      </c>
      <c r="B113" s="2" t="s">
        <v>781</v>
      </c>
      <c r="C113" s="2" t="s">
        <v>782</v>
      </c>
      <c r="D113" s="2" t="s">
        <v>811</v>
      </c>
      <c r="E113" s="3">
        <v>46070.813067129631</v>
      </c>
      <c r="F113" s="2" t="s">
        <v>812</v>
      </c>
      <c r="G113" s="2" t="s">
        <v>813</v>
      </c>
      <c r="H113" s="2" t="s">
        <v>17</v>
      </c>
      <c r="I113" s="2" t="s">
        <v>786</v>
      </c>
      <c r="J113" s="2" t="s">
        <v>16</v>
      </c>
    </row>
    <row r="114" spans="1:10">
      <c r="A114" s="2" t="s">
        <v>810</v>
      </c>
      <c r="B114" s="2" t="s">
        <v>781</v>
      </c>
      <c r="C114" s="2" t="s">
        <v>782</v>
      </c>
      <c r="D114" s="2" t="s">
        <v>811</v>
      </c>
      <c r="E114" s="3">
        <v>46070.847071759257</v>
      </c>
      <c r="F114" s="2" t="s">
        <v>812</v>
      </c>
      <c r="G114" s="2" t="s">
        <v>813</v>
      </c>
      <c r="H114" s="2" t="s">
        <v>17</v>
      </c>
      <c r="I114" s="2" t="s">
        <v>786</v>
      </c>
      <c r="J114" s="2" t="s">
        <v>16</v>
      </c>
    </row>
    <row r="115" spans="1:10">
      <c r="A115" s="2" t="s">
        <v>810</v>
      </c>
      <c r="B115" s="2" t="s">
        <v>781</v>
      </c>
      <c r="C115" s="2" t="s">
        <v>782</v>
      </c>
      <c r="D115" s="2" t="s">
        <v>811</v>
      </c>
      <c r="E115" s="3">
        <v>46070.877754629626</v>
      </c>
      <c r="F115" s="2" t="s">
        <v>812</v>
      </c>
      <c r="G115" s="2" t="s">
        <v>813</v>
      </c>
      <c r="H115" s="2" t="s">
        <v>17</v>
      </c>
      <c r="I115" s="2" t="s">
        <v>786</v>
      </c>
      <c r="J115" s="2" t="s">
        <v>16</v>
      </c>
    </row>
    <row r="116" spans="1:10">
      <c r="A116" s="2" t="s">
        <v>810</v>
      </c>
      <c r="B116" s="2" t="s">
        <v>781</v>
      </c>
      <c r="C116" s="2" t="s">
        <v>782</v>
      </c>
      <c r="D116" s="2" t="s">
        <v>811</v>
      </c>
      <c r="E116" s="3">
        <v>46070.9062037037</v>
      </c>
      <c r="F116" s="2" t="s">
        <v>812</v>
      </c>
      <c r="G116" s="2" t="s">
        <v>813</v>
      </c>
      <c r="H116" s="2" t="s">
        <v>17</v>
      </c>
      <c r="I116" s="2" t="s">
        <v>786</v>
      </c>
      <c r="J116" s="2" t="s">
        <v>16</v>
      </c>
    </row>
    <row r="117" spans="1:10">
      <c r="A117" s="2" t="s">
        <v>810</v>
      </c>
      <c r="B117" s="2" t="s">
        <v>781</v>
      </c>
      <c r="C117" s="2" t="s">
        <v>782</v>
      </c>
      <c r="D117" s="2" t="s">
        <v>811</v>
      </c>
      <c r="E117" s="3">
        <v>46070.933564814812</v>
      </c>
      <c r="F117" s="2" t="s">
        <v>812</v>
      </c>
      <c r="G117" s="2" t="s">
        <v>813</v>
      </c>
      <c r="H117" s="2" t="s">
        <v>17</v>
      </c>
      <c r="I117" s="2" t="s">
        <v>786</v>
      </c>
      <c r="J117" s="2" t="s">
        <v>16</v>
      </c>
    </row>
    <row r="118" spans="1:10">
      <c r="A118" s="2" t="s">
        <v>810</v>
      </c>
      <c r="B118" s="2" t="s">
        <v>781</v>
      </c>
      <c r="C118" s="2" t="s">
        <v>782</v>
      </c>
      <c r="D118" s="2" t="s">
        <v>811</v>
      </c>
      <c r="E118" s="3">
        <v>46070.971388888887</v>
      </c>
      <c r="F118" s="2" t="s">
        <v>812</v>
      </c>
      <c r="G118" s="2" t="s">
        <v>813</v>
      </c>
      <c r="H118" s="2" t="s">
        <v>17</v>
      </c>
      <c r="I118" s="2" t="s">
        <v>786</v>
      </c>
      <c r="J118" s="2" t="s">
        <v>16</v>
      </c>
    </row>
    <row r="119" spans="1:10">
      <c r="A119" s="2" t="s">
        <v>810</v>
      </c>
      <c r="B119" s="2" t="s">
        <v>781</v>
      </c>
      <c r="C119" s="2" t="s">
        <v>782</v>
      </c>
      <c r="D119" s="2" t="s">
        <v>811</v>
      </c>
      <c r="E119" s="3">
        <v>46072.683541666665</v>
      </c>
      <c r="F119" s="2" t="s">
        <v>812</v>
      </c>
      <c r="G119" s="2" t="s">
        <v>813</v>
      </c>
      <c r="H119" s="2" t="s">
        <v>17</v>
      </c>
      <c r="I119" s="2" t="s">
        <v>786</v>
      </c>
      <c r="J119" s="2" t="s">
        <v>16</v>
      </c>
    </row>
    <row r="120" spans="1:10">
      <c r="A120" s="2" t="s">
        <v>810</v>
      </c>
      <c r="B120" s="2" t="s">
        <v>781</v>
      </c>
      <c r="C120" s="2" t="s">
        <v>782</v>
      </c>
      <c r="D120" s="2" t="s">
        <v>811</v>
      </c>
      <c r="E120" s="3">
        <v>46072.764305555553</v>
      </c>
      <c r="F120" s="2" t="s">
        <v>812</v>
      </c>
      <c r="G120" s="2" t="s">
        <v>813</v>
      </c>
      <c r="H120" s="2" t="s">
        <v>17</v>
      </c>
      <c r="I120" s="2" t="s">
        <v>786</v>
      </c>
      <c r="J120" s="2" t="s">
        <v>16</v>
      </c>
    </row>
    <row r="121" spans="1:10">
      <c r="A121" s="2" t="s">
        <v>810</v>
      </c>
      <c r="B121" s="2" t="s">
        <v>781</v>
      </c>
      <c r="C121" s="2" t="s">
        <v>782</v>
      </c>
      <c r="D121" s="2" t="s">
        <v>811</v>
      </c>
      <c r="E121" s="3">
        <v>46072.807025462964</v>
      </c>
      <c r="F121" s="2" t="s">
        <v>812</v>
      </c>
      <c r="G121" s="2" t="s">
        <v>813</v>
      </c>
      <c r="H121" s="2" t="s">
        <v>17</v>
      </c>
      <c r="I121" s="2" t="s">
        <v>786</v>
      </c>
      <c r="J121" s="2" t="s">
        <v>16</v>
      </c>
    </row>
    <row r="122" spans="1:10">
      <c r="A122" s="2" t="s">
        <v>810</v>
      </c>
      <c r="B122" s="2" t="s">
        <v>781</v>
      </c>
      <c r="C122" s="2" t="s">
        <v>782</v>
      </c>
      <c r="D122" s="2" t="s">
        <v>811</v>
      </c>
      <c r="E122" s="3">
        <v>46072.823703703703</v>
      </c>
      <c r="F122" s="2" t="s">
        <v>812</v>
      </c>
      <c r="G122" s="2" t="s">
        <v>813</v>
      </c>
      <c r="H122" s="2" t="s">
        <v>17</v>
      </c>
      <c r="I122" s="2" t="s">
        <v>786</v>
      </c>
      <c r="J122" s="2" t="s">
        <v>16</v>
      </c>
    </row>
    <row r="123" spans="1:10">
      <c r="A123" s="2" t="s">
        <v>810</v>
      </c>
      <c r="B123" s="2" t="s">
        <v>781</v>
      </c>
      <c r="C123" s="2" t="s">
        <v>782</v>
      </c>
      <c r="D123" s="2" t="s">
        <v>811</v>
      </c>
      <c r="E123" s="3">
        <v>46072.847754629627</v>
      </c>
      <c r="F123" s="2" t="s">
        <v>812</v>
      </c>
      <c r="G123" s="2" t="s">
        <v>813</v>
      </c>
      <c r="H123" s="2" t="s">
        <v>17</v>
      </c>
      <c r="I123" s="2" t="s">
        <v>786</v>
      </c>
      <c r="J123" s="2" t="s">
        <v>16</v>
      </c>
    </row>
    <row r="124" spans="1:10">
      <c r="A124" s="2" t="s">
        <v>810</v>
      </c>
      <c r="B124" s="2" t="s">
        <v>781</v>
      </c>
      <c r="C124" s="2" t="s">
        <v>782</v>
      </c>
      <c r="D124" s="2" t="s">
        <v>811</v>
      </c>
      <c r="E124" s="3">
        <v>46072.876284722224</v>
      </c>
      <c r="F124" s="2" t="s">
        <v>812</v>
      </c>
      <c r="G124" s="2" t="s">
        <v>813</v>
      </c>
      <c r="H124" s="2" t="s">
        <v>17</v>
      </c>
      <c r="I124" s="2" t="s">
        <v>786</v>
      </c>
      <c r="J124" s="2" t="s">
        <v>16</v>
      </c>
    </row>
    <row r="125" spans="1:10">
      <c r="A125" s="2" t="s">
        <v>810</v>
      </c>
      <c r="B125" s="2" t="s">
        <v>781</v>
      </c>
      <c r="C125" s="2" t="s">
        <v>782</v>
      </c>
      <c r="D125" s="2" t="s">
        <v>811</v>
      </c>
      <c r="E125" s="3">
        <v>46072.914513888885</v>
      </c>
      <c r="F125" s="2" t="s">
        <v>812</v>
      </c>
      <c r="G125" s="2" t="s">
        <v>813</v>
      </c>
      <c r="H125" s="2" t="s">
        <v>17</v>
      </c>
      <c r="I125" s="2" t="s">
        <v>786</v>
      </c>
      <c r="J125" s="2" t="s">
        <v>16</v>
      </c>
    </row>
    <row r="126" spans="1:10">
      <c r="A126" s="2" t="s">
        <v>810</v>
      </c>
      <c r="B126" s="2" t="s">
        <v>781</v>
      </c>
      <c r="C126" s="2" t="s">
        <v>782</v>
      </c>
      <c r="D126" s="2" t="s">
        <v>811</v>
      </c>
      <c r="E126" s="3">
        <v>46072.92869212963</v>
      </c>
      <c r="F126" s="2" t="s">
        <v>812</v>
      </c>
      <c r="G126" s="2" t="s">
        <v>813</v>
      </c>
      <c r="H126" s="2" t="s">
        <v>17</v>
      </c>
      <c r="I126" s="2" t="s">
        <v>786</v>
      </c>
      <c r="J126" s="2" t="s">
        <v>16</v>
      </c>
    </row>
    <row r="127" spans="1:10">
      <c r="A127" s="2" t="s">
        <v>810</v>
      </c>
      <c r="B127" s="2" t="s">
        <v>781</v>
      </c>
      <c r="C127" s="2" t="s">
        <v>782</v>
      </c>
      <c r="D127" s="2" t="s">
        <v>811</v>
      </c>
      <c r="E127" s="3">
        <v>46072.963206018518</v>
      </c>
      <c r="F127" s="2" t="s">
        <v>812</v>
      </c>
      <c r="G127" s="2" t="s">
        <v>813</v>
      </c>
      <c r="H127" s="2" t="s">
        <v>17</v>
      </c>
      <c r="I127" s="2" t="s">
        <v>786</v>
      </c>
      <c r="J127" s="2" t="s">
        <v>16</v>
      </c>
    </row>
    <row r="128" spans="1:10">
      <c r="A128" s="2" t="s">
        <v>810</v>
      </c>
      <c r="B128" s="2" t="s">
        <v>781</v>
      </c>
      <c r="C128" s="2" t="s">
        <v>782</v>
      </c>
      <c r="D128" s="2" t="s">
        <v>811</v>
      </c>
      <c r="E128" s="3">
        <v>46072.998726851853</v>
      </c>
      <c r="F128" s="2" t="s">
        <v>812</v>
      </c>
      <c r="G128" s="2" t="s">
        <v>813</v>
      </c>
      <c r="H128" s="2" t="s">
        <v>17</v>
      </c>
      <c r="I128" s="2" t="s">
        <v>786</v>
      </c>
      <c r="J128" s="2" t="s">
        <v>16</v>
      </c>
    </row>
    <row r="129" spans="1:10">
      <c r="A129" s="2" t="s">
        <v>810</v>
      </c>
      <c r="B129" s="2" t="s">
        <v>781</v>
      </c>
      <c r="C129" s="2" t="s">
        <v>782</v>
      </c>
      <c r="D129" s="2" t="s">
        <v>811</v>
      </c>
      <c r="E129" s="3">
        <v>46073.786446759259</v>
      </c>
      <c r="F129" s="2" t="s">
        <v>812</v>
      </c>
      <c r="G129" s="2" t="s">
        <v>813</v>
      </c>
      <c r="H129" s="2" t="s">
        <v>17</v>
      </c>
      <c r="I129" s="2" t="s">
        <v>786</v>
      </c>
      <c r="J129" s="2" t="s">
        <v>16</v>
      </c>
    </row>
    <row r="130" spans="1:10">
      <c r="A130" s="2" t="s">
        <v>810</v>
      </c>
      <c r="B130" s="2" t="s">
        <v>781</v>
      </c>
      <c r="C130" s="2" t="s">
        <v>782</v>
      </c>
      <c r="D130" s="2" t="s">
        <v>811</v>
      </c>
      <c r="E130" s="3">
        <v>46073.8203125</v>
      </c>
      <c r="F130" s="2" t="s">
        <v>812</v>
      </c>
      <c r="G130" s="2" t="s">
        <v>813</v>
      </c>
      <c r="H130" s="2" t="s">
        <v>17</v>
      </c>
      <c r="I130" s="2" t="s">
        <v>786</v>
      </c>
      <c r="J130" s="2" t="s">
        <v>16</v>
      </c>
    </row>
    <row r="131" spans="1:10">
      <c r="A131" s="2" t="s">
        <v>810</v>
      </c>
      <c r="B131" s="2" t="s">
        <v>781</v>
      </c>
      <c r="C131" s="2" t="s">
        <v>782</v>
      </c>
      <c r="D131" s="2" t="s">
        <v>811</v>
      </c>
      <c r="E131" s="3">
        <v>46073.854062500002</v>
      </c>
      <c r="F131" s="2" t="s">
        <v>812</v>
      </c>
      <c r="G131" s="2" t="s">
        <v>813</v>
      </c>
      <c r="H131" s="2" t="s">
        <v>17</v>
      </c>
      <c r="I131" s="2" t="s">
        <v>786</v>
      </c>
      <c r="J131" s="2" t="s">
        <v>16</v>
      </c>
    </row>
    <row r="132" spans="1:10">
      <c r="A132" s="2" t="s">
        <v>810</v>
      </c>
      <c r="B132" s="2" t="s">
        <v>781</v>
      </c>
      <c r="C132" s="2" t="s">
        <v>782</v>
      </c>
      <c r="D132" s="2" t="s">
        <v>811</v>
      </c>
      <c r="E132" s="3">
        <v>46073.883379629631</v>
      </c>
      <c r="F132" s="2" t="s">
        <v>812</v>
      </c>
      <c r="G132" s="2" t="s">
        <v>813</v>
      </c>
      <c r="H132" s="2" t="s">
        <v>17</v>
      </c>
      <c r="I132" s="2" t="s">
        <v>786</v>
      </c>
      <c r="J132" s="2" t="s">
        <v>16</v>
      </c>
    </row>
    <row r="133" spans="1:10">
      <c r="A133" s="2" t="s">
        <v>810</v>
      </c>
      <c r="B133" s="2" t="s">
        <v>781</v>
      </c>
      <c r="C133" s="2" t="s">
        <v>782</v>
      </c>
      <c r="D133" s="2" t="s">
        <v>811</v>
      </c>
      <c r="E133" s="3">
        <v>46073.914502314816</v>
      </c>
      <c r="F133" s="2" t="s">
        <v>812</v>
      </c>
      <c r="G133" s="2" t="s">
        <v>813</v>
      </c>
      <c r="H133" s="2" t="s">
        <v>17</v>
      </c>
      <c r="I133" s="2" t="s">
        <v>786</v>
      </c>
      <c r="J133" s="2" t="s">
        <v>16</v>
      </c>
    </row>
    <row r="134" spans="1:10">
      <c r="A134" s="2" t="s">
        <v>810</v>
      </c>
      <c r="B134" s="2" t="s">
        <v>781</v>
      </c>
      <c r="C134" s="2" t="s">
        <v>782</v>
      </c>
      <c r="D134" s="2" t="s">
        <v>811</v>
      </c>
      <c r="E134" s="3">
        <v>46073.941076388888</v>
      </c>
      <c r="F134" s="2" t="s">
        <v>812</v>
      </c>
      <c r="G134" s="2" t="s">
        <v>813</v>
      </c>
      <c r="H134" s="2" t="s">
        <v>17</v>
      </c>
      <c r="I134" s="2" t="s">
        <v>786</v>
      </c>
      <c r="J134" s="2" t="s">
        <v>16</v>
      </c>
    </row>
    <row r="135" spans="1:10">
      <c r="A135" s="2" t="s">
        <v>810</v>
      </c>
      <c r="B135" s="2" t="s">
        <v>781</v>
      </c>
      <c r="C135" s="2" t="s">
        <v>782</v>
      </c>
      <c r="D135" s="2" t="s">
        <v>811</v>
      </c>
      <c r="E135" s="3">
        <v>46073.974432870367</v>
      </c>
      <c r="F135" s="2" t="s">
        <v>812</v>
      </c>
      <c r="G135" s="2" t="s">
        <v>813</v>
      </c>
      <c r="H135" s="2" t="s">
        <v>17</v>
      </c>
      <c r="I135" s="2" t="s">
        <v>786</v>
      </c>
      <c r="J135" s="2" t="s">
        <v>16</v>
      </c>
    </row>
    <row r="136" spans="1:10">
      <c r="A136" s="2" t="s">
        <v>810</v>
      </c>
      <c r="B136" s="2" t="s">
        <v>781</v>
      </c>
      <c r="C136" s="2" t="s">
        <v>782</v>
      </c>
      <c r="D136" s="2" t="s">
        <v>811</v>
      </c>
      <c r="E136" s="3">
        <v>46073.998506944445</v>
      </c>
      <c r="F136" s="2" t="s">
        <v>812</v>
      </c>
      <c r="G136" s="2" t="s">
        <v>813</v>
      </c>
      <c r="H136" s="2" t="s">
        <v>17</v>
      </c>
      <c r="I136" s="2" t="s">
        <v>786</v>
      </c>
      <c r="J136" s="2" t="s">
        <v>16</v>
      </c>
    </row>
    <row r="137" spans="1:10">
      <c r="A137" s="2" t="s">
        <v>810</v>
      </c>
      <c r="B137" s="2" t="s">
        <v>781</v>
      </c>
      <c r="C137" s="2" t="s">
        <v>782</v>
      </c>
      <c r="D137" s="2" t="s">
        <v>811</v>
      </c>
      <c r="E137" s="3">
        <v>46074.004803240743</v>
      </c>
      <c r="F137" s="2" t="s">
        <v>812</v>
      </c>
      <c r="G137" s="2" t="s">
        <v>813</v>
      </c>
      <c r="H137" s="2" t="s">
        <v>17</v>
      </c>
      <c r="I137" s="2" t="s">
        <v>786</v>
      </c>
      <c r="J137" s="2" t="s">
        <v>16</v>
      </c>
    </row>
    <row r="138" spans="1:10">
      <c r="A138" s="2" t="s">
        <v>810</v>
      </c>
      <c r="B138" s="2" t="s">
        <v>781</v>
      </c>
      <c r="C138" s="2" t="s">
        <v>782</v>
      </c>
      <c r="D138" s="2" t="s">
        <v>811</v>
      </c>
      <c r="E138" s="3">
        <v>46074.029004629629</v>
      </c>
      <c r="F138" s="2" t="s">
        <v>812</v>
      </c>
      <c r="G138" s="2" t="s">
        <v>813</v>
      </c>
      <c r="H138" s="2" t="s">
        <v>17</v>
      </c>
      <c r="I138" s="2" t="s">
        <v>786</v>
      </c>
      <c r="J138" s="2" t="s">
        <v>16</v>
      </c>
    </row>
    <row r="139" spans="1:10">
      <c r="A139" s="2" t="s">
        <v>814</v>
      </c>
      <c r="B139" s="2" t="s">
        <v>781</v>
      </c>
      <c r="C139" s="2" t="s">
        <v>782</v>
      </c>
      <c r="D139" s="2" t="s">
        <v>815</v>
      </c>
      <c r="E139" s="3">
        <v>46058.893964120471</v>
      </c>
      <c r="F139" s="2" t="s">
        <v>812</v>
      </c>
      <c r="G139" s="2" t="s">
        <v>813</v>
      </c>
      <c r="H139" s="2" t="s">
        <v>17</v>
      </c>
      <c r="I139" s="2" t="s">
        <v>786</v>
      </c>
      <c r="J139" s="2" t="s">
        <v>16</v>
      </c>
    </row>
    <row r="140" spans="1:10">
      <c r="A140" s="2" t="s">
        <v>814</v>
      </c>
      <c r="B140" s="2" t="s">
        <v>781</v>
      </c>
      <c r="C140" s="2" t="s">
        <v>782</v>
      </c>
      <c r="D140" s="2" t="s">
        <v>815</v>
      </c>
      <c r="E140" s="3">
        <v>46058.974728009358</v>
      </c>
      <c r="F140" s="2" t="s">
        <v>812</v>
      </c>
      <c r="G140" s="2" t="s">
        <v>813</v>
      </c>
      <c r="H140" s="2" t="s">
        <v>17</v>
      </c>
      <c r="I140" s="2" t="s">
        <v>786</v>
      </c>
      <c r="J140" s="2" t="s">
        <v>16</v>
      </c>
    </row>
    <row r="141" spans="1:10">
      <c r="A141" s="2" t="s">
        <v>814</v>
      </c>
      <c r="B141" s="2" t="s">
        <v>781</v>
      </c>
      <c r="C141" s="2" t="s">
        <v>782</v>
      </c>
      <c r="D141" s="2" t="s">
        <v>815</v>
      </c>
      <c r="E141" s="3">
        <v>46059.017447916769</v>
      </c>
      <c r="F141" s="2" t="s">
        <v>812</v>
      </c>
      <c r="G141" s="2" t="s">
        <v>813</v>
      </c>
      <c r="H141" s="2" t="s">
        <v>17</v>
      </c>
      <c r="I141" s="2" t="s">
        <v>786</v>
      </c>
      <c r="J141" s="2" t="s">
        <v>16</v>
      </c>
    </row>
    <row r="142" spans="1:10">
      <c r="A142" s="2" t="s">
        <v>814</v>
      </c>
      <c r="B142" s="2" t="s">
        <v>781</v>
      </c>
      <c r="C142" s="2" t="s">
        <v>782</v>
      </c>
      <c r="D142" s="2" t="s">
        <v>815</v>
      </c>
      <c r="E142" s="3">
        <v>46059.034126157509</v>
      </c>
      <c r="F142" s="2" t="s">
        <v>812</v>
      </c>
      <c r="G142" s="2" t="s">
        <v>813</v>
      </c>
      <c r="H142" s="2" t="s">
        <v>17</v>
      </c>
      <c r="I142" s="2" t="s">
        <v>786</v>
      </c>
      <c r="J142" s="2" t="s">
        <v>16</v>
      </c>
    </row>
    <row r="143" spans="1:10">
      <c r="A143" s="2" t="s">
        <v>814</v>
      </c>
      <c r="B143" s="2" t="s">
        <v>781</v>
      </c>
      <c r="C143" s="2" t="s">
        <v>782</v>
      </c>
      <c r="D143" s="2" t="s">
        <v>815</v>
      </c>
      <c r="E143" s="3">
        <v>46059.058177083432</v>
      </c>
      <c r="F143" s="2" t="s">
        <v>812</v>
      </c>
      <c r="G143" s="2" t="s">
        <v>813</v>
      </c>
      <c r="H143" s="2" t="s">
        <v>17</v>
      </c>
      <c r="I143" s="2" t="s">
        <v>786</v>
      </c>
      <c r="J143" s="2" t="s">
        <v>16</v>
      </c>
    </row>
    <row r="144" spans="1:10">
      <c r="A144" s="2" t="s">
        <v>814</v>
      </c>
      <c r="B144" s="2" t="s">
        <v>781</v>
      </c>
      <c r="C144" s="2" t="s">
        <v>782</v>
      </c>
      <c r="D144" s="2" t="s">
        <v>815</v>
      </c>
      <c r="E144" s="3">
        <v>46059.086707176029</v>
      </c>
      <c r="F144" s="2" t="s">
        <v>812</v>
      </c>
      <c r="G144" s="2" t="s">
        <v>813</v>
      </c>
      <c r="H144" s="2" t="s">
        <v>17</v>
      </c>
      <c r="I144" s="2" t="s">
        <v>786</v>
      </c>
      <c r="J144" s="2" t="s">
        <v>16</v>
      </c>
    </row>
    <row r="145" spans="1:10">
      <c r="A145" s="2" t="s">
        <v>814</v>
      </c>
      <c r="B145" s="2" t="s">
        <v>781</v>
      </c>
      <c r="C145" s="2" t="s">
        <v>782</v>
      </c>
      <c r="D145" s="2" t="s">
        <v>815</v>
      </c>
      <c r="E145" s="3">
        <v>46059.124936342698</v>
      </c>
      <c r="F145" s="2" t="s">
        <v>812</v>
      </c>
      <c r="G145" s="2" t="s">
        <v>813</v>
      </c>
      <c r="H145" s="2" t="s">
        <v>17</v>
      </c>
      <c r="I145" s="2" t="s">
        <v>786</v>
      </c>
      <c r="J145" s="2" t="s">
        <v>16</v>
      </c>
    </row>
    <row r="146" spans="1:10">
      <c r="A146" s="2" t="s">
        <v>814</v>
      </c>
      <c r="B146" s="2" t="s">
        <v>781</v>
      </c>
      <c r="C146" s="2" t="s">
        <v>782</v>
      </c>
      <c r="D146" s="2" t="s">
        <v>815</v>
      </c>
      <c r="E146" s="3">
        <v>46059.139114583435</v>
      </c>
      <c r="F146" s="2" t="s">
        <v>812</v>
      </c>
      <c r="G146" s="2" t="s">
        <v>813</v>
      </c>
      <c r="H146" s="2" t="s">
        <v>17</v>
      </c>
      <c r="I146" s="2" t="s">
        <v>786</v>
      </c>
      <c r="J146" s="2" t="s">
        <v>16</v>
      </c>
    </row>
    <row r="147" spans="1:10">
      <c r="A147" s="2" t="s">
        <v>814</v>
      </c>
      <c r="B147" s="2" t="s">
        <v>781</v>
      </c>
      <c r="C147" s="2" t="s">
        <v>782</v>
      </c>
      <c r="D147" s="2" t="s">
        <v>815</v>
      </c>
      <c r="E147" s="3">
        <v>46059.173628472323</v>
      </c>
      <c r="F147" s="2" t="s">
        <v>812</v>
      </c>
      <c r="G147" s="2" t="s">
        <v>813</v>
      </c>
      <c r="H147" s="2" t="s">
        <v>17</v>
      </c>
      <c r="I147" s="2" t="s">
        <v>786</v>
      </c>
      <c r="J147" s="2" t="s">
        <v>16</v>
      </c>
    </row>
    <row r="148" spans="1:10">
      <c r="A148" s="2" t="s">
        <v>814</v>
      </c>
      <c r="B148" s="2" t="s">
        <v>781</v>
      </c>
      <c r="C148" s="2" t="s">
        <v>782</v>
      </c>
      <c r="D148" s="2" t="s">
        <v>815</v>
      </c>
      <c r="E148" s="3">
        <v>46059.209149305658</v>
      </c>
      <c r="F148" s="2" t="s">
        <v>812</v>
      </c>
      <c r="G148" s="2" t="s">
        <v>813</v>
      </c>
      <c r="H148" s="2" t="s">
        <v>17</v>
      </c>
      <c r="I148" s="2" t="s">
        <v>786</v>
      </c>
      <c r="J148" s="2" t="s">
        <v>16</v>
      </c>
    </row>
    <row r="149" spans="1:10">
      <c r="A149" s="2" t="s">
        <v>814</v>
      </c>
      <c r="B149" s="2" t="s">
        <v>781</v>
      </c>
      <c r="C149" s="2" t="s">
        <v>782</v>
      </c>
      <c r="D149" s="2" t="s">
        <v>815</v>
      </c>
      <c r="E149" s="3">
        <v>46059.996869213064</v>
      </c>
      <c r="F149" s="2" t="s">
        <v>812</v>
      </c>
      <c r="G149" s="2" t="s">
        <v>813</v>
      </c>
      <c r="H149" s="2" t="s">
        <v>17</v>
      </c>
      <c r="I149" s="2" t="s">
        <v>786</v>
      </c>
      <c r="J149" s="2" t="s">
        <v>16</v>
      </c>
    </row>
    <row r="150" spans="1:10">
      <c r="A150" s="2" t="s">
        <v>814</v>
      </c>
      <c r="B150" s="2" t="s">
        <v>781</v>
      </c>
      <c r="C150" s="2" t="s">
        <v>782</v>
      </c>
      <c r="D150" s="2" t="s">
        <v>815</v>
      </c>
      <c r="E150" s="3">
        <v>46060.030734953805</v>
      </c>
      <c r="F150" s="2" t="s">
        <v>812</v>
      </c>
      <c r="G150" s="2" t="s">
        <v>813</v>
      </c>
      <c r="H150" s="2" t="s">
        <v>17</v>
      </c>
      <c r="I150" s="2" t="s">
        <v>786</v>
      </c>
      <c r="J150" s="2" t="s">
        <v>16</v>
      </c>
    </row>
    <row r="151" spans="1:10">
      <c r="A151" s="2" t="s">
        <v>814</v>
      </c>
      <c r="B151" s="2" t="s">
        <v>781</v>
      </c>
      <c r="C151" s="2" t="s">
        <v>782</v>
      </c>
      <c r="D151" s="2" t="s">
        <v>815</v>
      </c>
      <c r="E151" s="3">
        <v>46060.064484953808</v>
      </c>
      <c r="F151" s="2" t="s">
        <v>812</v>
      </c>
      <c r="G151" s="2" t="s">
        <v>813</v>
      </c>
      <c r="H151" s="2" t="s">
        <v>17</v>
      </c>
      <c r="I151" s="2" t="s">
        <v>786</v>
      </c>
      <c r="J151" s="2" t="s">
        <v>16</v>
      </c>
    </row>
    <row r="152" spans="1:10">
      <c r="A152" s="2" t="s">
        <v>814</v>
      </c>
      <c r="B152" s="2" t="s">
        <v>781</v>
      </c>
      <c r="C152" s="2" t="s">
        <v>782</v>
      </c>
      <c r="D152" s="2" t="s">
        <v>815</v>
      </c>
      <c r="E152" s="3">
        <v>46060.093802083436</v>
      </c>
      <c r="F152" s="2" t="s">
        <v>812</v>
      </c>
      <c r="G152" s="2" t="s">
        <v>813</v>
      </c>
      <c r="H152" s="2" t="s">
        <v>17</v>
      </c>
      <c r="I152" s="2" t="s">
        <v>786</v>
      </c>
      <c r="J152" s="2" t="s">
        <v>16</v>
      </c>
    </row>
    <row r="153" spans="1:10">
      <c r="A153" s="2" t="s">
        <v>814</v>
      </c>
      <c r="B153" s="2" t="s">
        <v>781</v>
      </c>
      <c r="C153" s="2" t="s">
        <v>782</v>
      </c>
      <c r="D153" s="2" t="s">
        <v>815</v>
      </c>
      <c r="E153" s="3">
        <v>46060.124924768621</v>
      </c>
      <c r="F153" s="2" t="s">
        <v>812</v>
      </c>
      <c r="G153" s="2" t="s">
        <v>813</v>
      </c>
      <c r="H153" s="2" t="s">
        <v>17</v>
      </c>
      <c r="I153" s="2" t="s">
        <v>786</v>
      </c>
      <c r="J153" s="2" t="s">
        <v>16</v>
      </c>
    </row>
    <row r="154" spans="1:10">
      <c r="A154" s="2" t="s">
        <v>814</v>
      </c>
      <c r="B154" s="2" t="s">
        <v>781</v>
      </c>
      <c r="C154" s="2" t="s">
        <v>782</v>
      </c>
      <c r="D154" s="2" t="s">
        <v>815</v>
      </c>
      <c r="E154" s="3">
        <v>46060.151498842693</v>
      </c>
      <c r="F154" s="2" t="s">
        <v>812</v>
      </c>
      <c r="G154" s="2" t="s">
        <v>813</v>
      </c>
      <c r="H154" s="2" t="s">
        <v>17</v>
      </c>
      <c r="I154" s="2" t="s">
        <v>786</v>
      </c>
      <c r="J154" s="2" t="s">
        <v>16</v>
      </c>
    </row>
    <row r="155" spans="1:10">
      <c r="A155" s="2" t="s">
        <v>814</v>
      </c>
      <c r="B155" s="2" t="s">
        <v>781</v>
      </c>
      <c r="C155" s="2" t="s">
        <v>782</v>
      </c>
      <c r="D155" s="2" t="s">
        <v>815</v>
      </c>
      <c r="E155" s="3">
        <v>46060.184855324173</v>
      </c>
      <c r="F155" s="2" t="s">
        <v>812</v>
      </c>
      <c r="G155" s="2" t="s">
        <v>813</v>
      </c>
      <c r="H155" s="2" t="s">
        <v>17</v>
      </c>
      <c r="I155" s="2" t="s">
        <v>786</v>
      </c>
      <c r="J155" s="2" t="s">
        <v>16</v>
      </c>
    </row>
    <row r="156" spans="1:10">
      <c r="A156" s="2" t="s">
        <v>814</v>
      </c>
      <c r="B156" s="2" t="s">
        <v>781</v>
      </c>
      <c r="C156" s="2" t="s">
        <v>782</v>
      </c>
      <c r="D156" s="2" t="s">
        <v>815</v>
      </c>
      <c r="E156" s="3">
        <v>46060.20892939825</v>
      </c>
      <c r="F156" s="2" t="s">
        <v>812</v>
      </c>
      <c r="G156" s="2" t="s">
        <v>813</v>
      </c>
      <c r="H156" s="2" t="s">
        <v>17</v>
      </c>
      <c r="I156" s="2" t="s">
        <v>786</v>
      </c>
      <c r="J156" s="2" t="s">
        <v>16</v>
      </c>
    </row>
    <row r="157" spans="1:10">
      <c r="A157" s="2" t="s">
        <v>814</v>
      </c>
      <c r="B157" s="2" t="s">
        <v>781</v>
      </c>
      <c r="C157" s="2" t="s">
        <v>782</v>
      </c>
      <c r="D157" s="2" t="s">
        <v>815</v>
      </c>
      <c r="E157" s="3">
        <v>46060.215225694548</v>
      </c>
      <c r="F157" s="2" t="s">
        <v>812</v>
      </c>
      <c r="G157" s="2" t="s">
        <v>813</v>
      </c>
      <c r="H157" s="2" t="s">
        <v>17</v>
      </c>
      <c r="I157" s="2" t="s">
        <v>786</v>
      </c>
      <c r="J157" s="2" t="s">
        <v>16</v>
      </c>
    </row>
    <row r="158" spans="1:10">
      <c r="A158" s="2" t="s">
        <v>814</v>
      </c>
      <c r="B158" s="2" t="s">
        <v>781</v>
      </c>
      <c r="C158" s="2" t="s">
        <v>782</v>
      </c>
      <c r="D158" s="2" t="s">
        <v>815</v>
      </c>
      <c r="E158" s="3">
        <v>46060.239427083434</v>
      </c>
      <c r="F158" s="2" t="s">
        <v>812</v>
      </c>
      <c r="G158" s="2" t="s">
        <v>813</v>
      </c>
      <c r="H158" s="2" t="s">
        <v>17</v>
      </c>
      <c r="I158" s="2" t="s">
        <v>786</v>
      </c>
      <c r="J158" s="2" t="s">
        <v>16</v>
      </c>
    </row>
    <row r="159" spans="1:10">
      <c r="A159" s="2" t="s">
        <v>814</v>
      </c>
      <c r="B159" s="2" t="s">
        <v>781</v>
      </c>
      <c r="C159" s="2" t="s">
        <v>782</v>
      </c>
      <c r="D159" s="2" t="s">
        <v>815</v>
      </c>
      <c r="E159" s="3">
        <v>46061.171047453805</v>
      </c>
      <c r="F159" s="2" t="s">
        <v>812</v>
      </c>
      <c r="G159" s="2" t="s">
        <v>813</v>
      </c>
      <c r="H159" s="2" t="s">
        <v>17</v>
      </c>
      <c r="I159" s="2" t="s">
        <v>786</v>
      </c>
      <c r="J159" s="2" t="s">
        <v>16</v>
      </c>
    </row>
    <row r="160" spans="1:10">
      <c r="A160" s="2" t="s">
        <v>814</v>
      </c>
      <c r="B160" s="2" t="s">
        <v>781</v>
      </c>
      <c r="C160" s="2" t="s">
        <v>782</v>
      </c>
      <c r="D160" s="2" t="s">
        <v>815</v>
      </c>
      <c r="E160" s="3">
        <v>46061.21877893529</v>
      </c>
      <c r="F160" s="2" t="s">
        <v>812</v>
      </c>
      <c r="G160" s="2" t="s">
        <v>813</v>
      </c>
      <c r="H160" s="2" t="s">
        <v>17</v>
      </c>
      <c r="I160" s="2" t="s">
        <v>786</v>
      </c>
      <c r="J160" s="2" t="s">
        <v>16</v>
      </c>
    </row>
    <row r="161" spans="1:10">
      <c r="A161" s="2" t="s">
        <v>814</v>
      </c>
      <c r="B161" s="2" t="s">
        <v>781</v>
      </c>
      <c r="C161" s="2" t="s">
        <v>782</v>
      </c>
      <c r="D161" s="2" t="s">
        <v>815</v>
      </c>
      <c r="E161" s="3">
        <v>46063.999068287136</v>
      </c>
      <c r="F161" s="2" t="s">
        <v>812</v>
      </c>
      <c r="G161" s="2" t="s">
        <v>813</v>
      </c>
      <c r="H161" s="2" t="s">
        <v>17</v>
      </c>
      <c r="I161" s="2" t="s">
        <v>786</v>
      </c>
      <c r="J161" s="2" t="s">
        <v>16</v>
      </c>
    </row>
    <row r="162" spans="1:10">
      <c r="A162" s="2" t="s">
        <v>814</v>
      </c>
      <c r="B162" s="2" t="s">
        <v>781</v>
      </c>
      <c r="C162" s="2" t="s">
        <v>782</v>
      </c>
      <c r="D162" s="2" t="s">
        <v>815</v>
      </c>
      <c r="E162" s="3">
        <v>46064.041788194547</v>
      </c>
      <c r="F162" s="2" t="s">
        <v>812</v>
      </c>
      <c r="G162" s="2" t="s">
        <v>813</v>
      </c>
      <c r="H162" s="2" t="s">
        <v>17</v>
      </c>
      <c r="I162" s="2" t="s">
        <v>786</v>
      </c>
      <c r="J162" s="2" t="s">
        <v>16</v>
      </c>
    </row>
    <row r="163" spans="1:10">
      <c r="A163" s="2" t="s">
        <v>814</v>
      </c>
      <c r="B163" s="2" t="s">
        <v>781</v>
      </c>
      <c r="C163" s="2" t="s">
        <v>782</v>
      </c>
      <c r="D163" s="2" t="s">
        <v>815</v>
      </c>
      <c r="E163" s="3">
        <v>46064.079716435284</v>
      </c>
      <c r="F163" s="2" t="s">
        <v>812</v>
      </c>
      <c r="G163" s="2" t="s">
        <v>813</v>
      </c>
      <c r="H163" s="2" t="s">
        <v>17</v>
      </c>
      <c r="I163" s="2" t="s">
        <v>786</v>
      </c>
      <c r="J163" s="2" t="s">
        <v>16</v>
      </c>
    </row>
    <row r="164" spans="1:10">
      <c r="A164" s="2" t="s">
        <v>814</v>
      </c>
      <c r="B164" s="2" t="s">
        <v>781</v>
      </c>
      <c r="C164" s="2" t="s">
        <v>782</v>
      </c>
      <c r="D164" s="2" t="s">
        <v>815</v>
      </c>
      <c r="E164" s="3">
        <v>46064.088373842693</v>
      </c>
      <c r="F164" s="2" t="s">
        <v>812</v>
      </c>
      <c r="G164" s="2" t="s">
        <v>813</v>
      </c>
      <c r="H164" s="2" t="s">
        <v>17</v>
      </c>
      <c r="I164" s="2" t="s">
        <v>786</v>
      </c>
      <c r="J164" s="2" t="s">
        <v>16</v>
      </c>
    </row>
    <row r="165" spans="1:10">
      <c r="A165" s="2" t="s">
        <v>814</v>
      </c>
      <c r="B165" s="2" t="s">
        <v>781</v>
      </c>
      <c r="C165" s="2" t="s">
        <v>782</v>
      </c>
      <c r="D165" s="2" t="s">
        <v>815</v>
      </c>
      <c r="E165" s="3">
        <v>46064.103443287138</v>
      </c>
      <c r="F165" s="2" t="s">
        <v>812</v>
      </c>
      <c r="G165" s="2" t="s">
        <v>813</v>
      </c>
      <c r="H165" s="2" t="s">
        <v>17</v>
      </c>
      <c r="I165" s="2" t="s">
        <v>786</v>
      </c>
      <c r="J165" s="2" t="s">
        <v>16</v>
      </c>
    </row>
    <row r="166" spans="1:10">
      <c r="A166" s="2" t="s">
        <v>814</v>
      </c>
      <c r="B166" s="2" t="s">
        <v>781</v>
      </c>
      <c r="C166" s="2" t="s">
        <v>782</v>
      </c>
      <c r="D166" s="2" t="s">
        <v>815</v>
      </c>
      <c r="E166" s="3">
        <v>46064.114531250103</v>
      </c>
      <c r="F166" s="2" t="s">
        <v>812</v>
      </c>
      <c r="G166" s="2" t="s">
        <v>813</v>
      </c>
      <c r="H166" s="2" t="s">
        <v>17</v>
      </c>
      <c r="I166" s="2" t="s">
        <v>786</v>
      </c>
      <c r="J166" s="2" t="s">
        <v>16</v>
      </c>
    </row>
    <row r="167" spans="1:10">
      <c r="A167" s="2" t="s">
        <v>814</v>
      </c>
      <c r="B167" s="2" t="s">
        <v>781</v>
      </c>
      <c r="C167" s="2" t="s">
        <v>782</v>
      </c>
      <c r="D167" s="2" t="s">
        <v>815</v>
      </c>
      <c r="E167" s="3">
        <v>46064.191614583433</v>
      </c>
      <c r="F167" s="2" t="s">
        <v>812</v>
      </c>
      <c r="G167" s="2" t="s">
        <v>813</v>
      </c>
      <c r="H167" s="2" t="s">
        <v>17</v>
      </c>
      <c r="I167" s="2" t="s">
        <v>786</v>
      </c>
      <c r="J167" s="2" t="s">
        <v>16</v>
      </c>
    </row>
    <row r="168" spans="1:10">
      <c r="A168" s="2" t="s">
        <v>814</v>
      </c>
      <c r="B168" s="2" t="s">
        <v>781</v>
      </c>
      <c r="C168" s="2" t="s">
        <v>782</v>
      </c>
      <c r="D168" s="2" t="s">
        <v>815</v>
      </c>
      <c r="E168" s="3">
        <v>46064.208142361211</v>
      </c>
      <c r="F168" s="2" t="s">
        <v>812</v>
      </c>
      <c r="G168" s="2" t="s">
        <v>813</v>
      </c>
      <c r="H168" s="2" t="s">
        <v>17</v>
      </c>
      <c r="I168" s="2" t="s">
        <v>786</v>
      </c>
      <c r="J168" s="2" t="s">
        <v>16</v>
      </c>
    </row>
    <row r="169" spans="1:10">
      <c r="A169" s="2" t="s">
        <v>814</v>
      </c>
      <c r="B169" s="2" t="s">
        <v>781</v>
      </c>
      <c r="C169" s="2" t="s">
        <v>782</v>
      </c>
      <c r="D169" s="2" t="s">
        <v>815</v>
      </c>
      <c r="E169" s="3">
        <v>46065.005353009365</v>
      </c>
      <c r="F169" s="2" t="s">
        <v>812</v>
      </c>
      <c r="G169" s="2" t="s">
        <v>813</v>
      </c>
      <c r="H169" s="2" t="s">
        <v>17</v>
      </c>
      <c r="I169" s="2" t="s">
        <v>786</v>
      </c>
      <c r="J169" s="2" t="s">
        <v>16</v>
      </c>
    </row>
    <row r="170" spans="1:10">
      <c r="A170" s="2" t="s">
        <v>814</v>
      </c>
      <c r="B170" s="2" t="s">
        <v>781</v>
      </c>
      <c r="C170" s="2" t="s">
        <v>782</v>
      </c>
      <c r="D170" s="2" t="s">
        <v>815</v>
      </c>
      <c r="E170" s="3">
        <v>46065.893836805655</v>
      </c>
      <c r="F170" s="2" t="s">
        <v>812</v>
      </c>
      <c r="G170" s="2" t="s">
        <v>813</v>
      </c>
      <c r="H170" s="2" t="s">
        <v>17</v>
      </c>
      <c r="I170" s="2" t="s">
        <v>786</v>
      </c>
      <c r="J170" s="2" t="s">
        <v>16</v>
      </c>
    </row>
    <row r="171" spans="1:10">
      <c r="A171" s="2" t="s">
        <v>814</v>
      </c>
      <c r="B171" s="2" t="s">
        <v>781</v>
      </c>
      <c r="C171" s="2" t="s">
        <v>782</v>
      </c>
      <c r="D171" s="2" t="s">
        <v>815</v>
      </c>
      <c r="E171" s="3">
        <v>46065.981093750102</v>
      </c>
      <c r="F171" s="2" t="s">
        <v>812</v>
      </c>
      <c r="G171" s="2" t="s">
        <v>813</v>
      </c>
      <c r="H171" s="2" t="s">
        <v>17</v>
      </c>
      <c r="I171" s="2" t="s">
        <v>786</v>
      </c>
      <c r="J171" s="2" t="s">
        <v>16</v>
      </c>
    </row>
    <row r="172" spans="1:10">
      <c r="A172" s="2" t="s">
        <v>814</v>
      </c>
      <c r="B172" s="2" t="s">
        <v>781</v>
      </c>
      <c r="C172" s="2" t="s">
        <v>782</v>
      </c>
      <c r="D172" s="2" t="s">
        <v>815</v>
      </c>
      <c r="E172" s="3">
        <v>46066.003929398248</v>
      </c>
      <c r="F172" s="2" t="s">
        <v>812</v>
      </c>
      <c r="G172" s="2" t="s">
        <v>813</v>
      </c>
      <c r="H172" s="2" t="s">
        <v>17</v>
      </c>
      <c r="I172" s="2" t="s">
        <v>786</v>
      </c>
      <c r="J172" s="2" t="s">
        <v>16</v>
      </c>
    </row>
    <row r="173" spans="1:10">
      <c r="A173" s="2" t="s">
        <v>814</v>
      </c>
      <c r="B173" s="2" t="s">
        <v>781</v>
      </c>
      <c r="C173" s="2" t="s">
        <v>782</v>
      </c>
      <c r="D173" s="2" t="s">
        <v>815</v>
      </c>
      <c r="E173" s="3">
        <v>46066.027991898249</v>
      </c>
      <c r="F173" s="2" t="s">
        <v>812</v>
      </c>
      <c r="G173" s="2" t="s">
        <v>813</v>
      </c>
      <c r="H173" s="2" t="s">
        <v>17</v>
      </c>
      <c r="I173" s="2" t="s">
        <v>786</v>
      </c>
      <c r="J173" s="2" t="s">
        <v>16</v>
      </c>
    </row>
    <row r="174" spans="1:10">
      <c r="A174" s="2" t="s">
        <v>814</v>
      </c>
      <c r="B174" s="2" t="s">
        <v>781</v>
      </c>
      <c r="C174" s="2" t="s">
        <v>782</v>
      </c>
      <c r="D174" s="2" t="s">
        <v>815</v>
      </c>
      <c r="E174" s="3">
        <v>46066.057251157508</v>
      </c>
      <c r="F174" s="2" t="s">
        <v>812</v>
      </c>
      <c r="G174" s="2" t="s">
        <v>813</v>
      </c>
      <c r="H174" s="2" t="s">
        <v>17</v>
      </c>
      <c r="I174" s="2" t="s">
        <v>786</v>
      </c>
      <c r="J174" s="2" t="s">
        <v>16</v>
      </c>
    </row>
    <row r="175" spans="1:10">
      <c r="A175" s="2" t="s">
        <v>814</v>
      </c>
      <c r="B175" s="2" t="s">
        <v>781</v>
      </c>
      <c r="C175" s="2" t="s">
        <v>782</v>
      </c>
      <c r="D175" s="2" t="s">
        <v>815</v>
      </c>
      <c r="E175" s="3">
        <v>46066.085711805659</v>
      </c>
      <c r="F175" s="2" t="s">
        <v>812</v>
      </c>
      <c r="G175" s="2" t="s">
        <v>813</v>
      </c>
      <c r="H175" s="2" t="s">
        <v>17</v>
      </c>
      <c r="I175" s="2" t="s">
        <v>786</v>
      </c>
      <c r="J175" s="2" t="s">
        <v>16</v>
      </c>
    </row>
    <row r="176" spans="1:10">
      <c r="A176" s="2" t="s">
        <v>814</v>
      </c>
      <c r="B176" s="2" t="s">
        <v>781</v>
      </c>
      <c r="C176" s="2" t="s">
        <v>782</v>
      </c>
      <c r="D176" s="2" t="s">
        <v>815</v>
      </c>
      <c r="E176" s="3">
        <v>46066.121278935287</v>
      </c>
      <c r="F176" s="2" t="s">
        <v>812</v>
      </c>
      <c r="G176" s="2" t="s">
        <v>813</v>
      </c>
      <c r="H176" s="2" t="s">
        <v>17</v>
      </c>
      <c r="I176" s="2" t="s">
        <v>786</v>
      </c>
      <c r="J176" s="2" t="s">
        <v>16</v>
      </c>
    </row>
    <row r="177" spans="1:10">
      <c r="A177" s="2" t="s">
        <v>814</v>
      </c>
      <c r="B177" s="2" t="s">
        <v>781</v>
      </c>
      <c r="C177" s="2" t="s">
        <v>782</v>
      </c>
      <c r="D177" s="2" t="s">
        <v>815</v>
      </c>
      <c r="E177" s="3">
        <v>46066.1348900464</v>
      </c>
      <c r="F177" s="2" t="s">
        <v>812</v>
      </c>
      <c r="G177" s="2" t="s">
        <v>813</v>
      </c>
      <c r="H177" s="2" t="s">
        <v>17</v>
      </c>
      <c r="I177" s="2" t="s">
        <v>786</v>
      </c>
      <c r="J177" s="2" t="s">
        <v>16</v>
      </c>
    </row>
    <row r="178" spans="1:10">
      <c r="A178" s="2" t="s">
        <v>814</v>
      </c>
      <c r="B178" s="2" t="s">
        <v>781</v>
      </c>
      <c r="C178" s="2" t="s">
        <v>782</v>
      </c>
      <c r="D178" s="2" t="s">
        <v>815</v>
      </c>
      <c r="E178" s="3">
        <v>46066.140190972321</v>
      </c>
      <c r="F178" s="2" t="s">
        <v>812</v>
      </c>
      <c r="G178" s="2" t="s">
        <v>813</v>
      </c>
      <c r="H178" s="2" t="s">
        <v>17</v>
      </c>
      <c r="I178" s="2" t="s">
        <v>786</v>
      </c>
      <c r="J178" s="2" t="s">
        <v>16</v>
      </c>
    </row>
    <row r="179" spans="1:10">
      <c r="A179" s="2" t="s">
        <v>814</v>
      </c>
      <c r="B179" s="2" t="s">
        <v>781</v>
      </c>
      <c r="C179" s="2" t="s">
        <v>782</v>
      </c>
      <c r="D179" s="2" t="s">
        <v>815</v>
      </c>
      <c r="E179" s="3">
        <v>46066.164021990844</v>
      </c>
      <c r="F179" s="2" t="s">
        <v>812</v>
      </c>
      <c r="G179" s="2" t="s">
        <v>813</v>
      </c>
      <c r="H179" s="2" t="s">
        <v>17</v>
      </c>
      <c r="I179" s="2" t="s">
        <v>786</v>
      </c>
      <c r="J179" s="2" t="s">
        <v>16</v>
      </c>
    </row>
    <row r="180" spans="1:10">
      <c r="A180" s="2" t="s">
        <v>814</v>
      </c>
      <c r="B180" s="2" t="s">
        <v>781</v>
      </c>
      <c r="C180" s="2" t="s">
        <v>782</v>
      </c>
      <c r="D180" s="2" t="s">
        <v>815</v>
      </c>
      <c r="E180" s="3">
        <v>46066.9857812501</v>
      </c>
      <c r="F180" s="2" t="s">
        <v>812</v>
      </c>
      <c r="G180" s="2" t="s">
        <v>813</v>
      </c>
      <c r="H180" s="2" t="s">
        <v>17</v>
      </c>
      <c r="I180" s="2" t="s">
        <v>786</v>
      </c>
      <c r="J180" s="2" t="s">
        <v>16</v>
      </c>
    </row>
    <row r="181" spans="1:10">
      <c r="A181" s="2" t="s">
        <v>814</v>
      </c>
      <c r="B181" s="2" t="s">
        <v>781</v>
      </c>
      <c r="C181" s="2" t="s">
        <v>782</v>
      </c>
      <c r="D181" s="2" t="s">
        <v>815</v>
      </c>
      <c r="E181" s="3">
        <v>46067.02147569455</v>
      </c>
      <c r="F181" s="2" t="s">
        <v>812</v>
      </c>
      <c r="G181" s="2" t="s">
        <v>813</v>
      </c>
      <c r="H181" s="2" t="s">
        <v>17</v>
      </c>
      <c r="I181" s="2" t="s">
        <v>786</v>
      </c>
      <c r="J181" s="2" t="s">
        <v>16</v>
      </c>
    </row>
    <row r="182" spans="1:10">
      <c r="A182" s="2" t="s">
        <v>814</v>
      </c>
      <c r="B182" s="2" t="s">
        <v>781</v>
      </c>
      <c r="C182" s="2" t="s">
        <v>782</v>
      </c>
      <c r="D182" s="2" t="s">
        <v>815</v>
      </c>
      <c r="E182" s="3">
        <v>46067.05409143529</v>
      </c>
      <c r="F182" s="2" t="s">
        <v>812</v>
      </c>
      <c r="G182" s="2" t="s">
        <v>813</v>
      </c>
      <c r="H182" s="2" t="s">
        <v>17</v>
      </c>
      <c r="I182" s="2" t="s">
        <v>786</v>
      </c>
      <c r="J182" s="2" t="s">
        <v>16</v>
      </c>
    </row>
    <row r="183" spans="1:10">
      <c r="A183" s="2" t="s">
        <v>814</v>
      </c>
      <c r="B183" s="2" t="s">
        <v>781</v>
      </c>
      <c r="C183" s="2" t="s">
        <v>782</v>
      </c>
      <c r="D183" s="2" t="s">
        <v>815</v>
      </c>
      <c r="E183" s="3">
        <v>46067.100538194543</v>
      </c>
      <c r="F183" s="2" t="s">
        <v>812</v>
      </c>
      <c r="G183" s="2" t="s">
        <v>813</v>
      </c>
      <c r="H183" s="2" t="s">
        <v>17</v>
      </c>
      <c r="I183" s="2" t="s">
        <v>786</v>
      </c>
      <c r="J183" s="2" t="s">
        <v>16</v>
      </c>
    </row>
    <row r="184" spans="1:10">
      <c r="A184" s="2" t="s">
        <v>814</v>
      </c>
      <c r="B184" s="2" t="s">
        <v>781</v>
      </c>
      <c r="C184" s="2" t="s">
        <v>782</v>
      </c>
      <c r="D184" s="2" t="s">
        <v>815</v>
      </c>
      <c r="E184" s="3">
        <v>46067.131128472327</v>
      </c>
      <c r="F184" s="2" t="s">
        <v>812</v>
      </c>
      <c r="G184" s="2" t="s">
        <v>813</v>
      </c>
      <c r="H184" s="2" t="s">
        <v>17</v>
      </c>
      <c r="I184" s="2" t="s">
        <v>786</v>
      </c>
      <c r="J184" s="2" t="s">
        <v>16</v>
      </c>
    </row>
    <row r="185" spans="1:10">
      <c r="A185" s="2" t="s">
        <v>814</v>
      </c>
      <c r="B185" s="2" t="s">
        <v>781</v>
      </c>
      <c r="C185" s="2" t="s">
        <v>782</v>
      </c>
      <c r="D185" s="2" t="s">
        <v>815</v>
      </c>
      <c r="E185" s="3">
        <v>46067.155121527881</v>
      </c>
      <c r="F185" s="2" t="s">
        <v>812</v>
      </c>
      <c r="G185" s="2" t="s">
        <v>813</v>
      </c>
      <c r="H185" s="2" t="s">
        <v>17</v>
      </c>
      <c r="I185" s="2" t="s">
        <v>786</v>
      </c>
      <c r="J185" s="2" t="s">
        <v>16</v>
      </c>
    </row>
    <row r="186" spans="1:10">
      <c r="A186" s="2" t="s">
        <v>814</v>
      </c>
      <c r="B186" s="2" t="s">
        <v>781</v>
      </c>
      <c r="C186" s="2" t="s">
        <v>782</v>
      </c>
      <c r="D186" s="2" t="s">
        <v>815</v>
      </c>
      <c r="E186" s="3">
        <v>46067.168015046402</v>
      </c>
      <c r="F186" s="2" t="s">
        <v>812</v>
      </c>
      <c r="G186" s="2" t="s">
        <v>813</v>
      </c>
      <c r="H186" s="2" t="s">
        <v>17</v>
      </c>
      <c r="I186" s="2" t="s">
        <v>786</v>
      </c>
      <c r="J186" s="2" t="s">
        <v>16</v>
      </c>
    </row>
    <row r="187" spans="1:10">
      <c r="A187" s="2" t="s">
        <v>814</v>
      </c>
      <c r="B187" s="2" t="s">
        <v>781</v>
      </c>
      <c r="C187" s="2" t="s">
        <v>782</v>
      </c>
      <c r="D187" s="2" t="s">
        <v>815</v>
      </c>
      <c r="E187" s="3">
        <v>46067.195526620475</v>
      </c>
      <c r="F187" s="2" t="s">
        <v>812</v>
      </c>
      <c r="G187" s="2" t="s">
        <v>813</v>
      </c>
      <c r="H187" s="2" t="s">
        <v>17</v>
      </c>
      <c r="I187" s="2" t="s">
        <v>786</v>
      </c>
      <c r="J187" s="2" t="s">
        <v>16</v>
      </c>
    </row>
    <row r="188" spans="1:10">
      <c r="A188" s="2" t="s">
        <v>814</v>
      </c>
      <c r="B188" s="2" t="s">
        <v>781</v>
      </c>
      <c r="C188" s="2" t="s">
        <v>782</v>
      </c>
      <c r="D188" s="2" t="s">
        <v>815</v>
      </c>
      <c r="E188" s="3">
        <v>46068.205827546401</v>
      </c>
      <c r="F188" s="2" t="s">
        <v>812</v>
      </c>
      <c r="G188" s="2" t="s">
        <v>813</v>
      </c>
      <c r="H188" s="2" t="s">
        <v>17</v>
      </c>
      <c r="I188" s="2" t="s">
        <v>786</v>
      </c>
      <c r="J188" s="2" t="s">
        <v>16</v>
      </c>
    </row>
    <row r="189" spans="1:10">
      <c r="A189" s="2" t="s">
        <v>814</v>
      </c>
      <c r="B189" s="2" t="s">
        <v>781</v>
      </c>
      <c r="C189" s="2" t="s">
        <v>782</v>
      </c>
      <c r="D189" s="2" t="s">
        <v>815</v>
      </c>
      <c r="E189" s="3">
        <v>46068.21264467603</v>
      </c>
      <c r="F189" s="2" t="s">
        <v>812</v>
      </c>
      <c r="G189" s="2" t="s">
        <v>813</v>
      </c>
      <c r="H189" s="2" t="s">
        <v>17</v>
      </c>
      <c r="I189" s="2" t="s">
        <v>786</v>
      </c>
      <c r="J189" s="2" t="s">
        <v>16</v>
      </c>
    </row>
    <row r="190" spans="1:10">
      <c r="A190" s="2" t="s">
        <v>814</v>
      </c>
      <c r="B190" s="2" t="s">
        <v>781</v>
      </c>
      <c r="C190" s="2" t="s">
        <v>782</v>
      </c>
      <c r="D190" s="2" t="s">
        <v>815</v>
      </c>
      <c r="E190" s="3">
        <v>46068.364994213065</v>
      </c>
      <c r="F190" s="2" t="s">
        <v>812</v>
      </c>
      <c r="G190" s="2" t="s">
        <v>813</v>
      </c>
      <c r="H190" s="2" t="s">
        <v>17</v>
      </c>
      <c r="I190" s="2" t="s">
        <v>786</v>
      </c>
      <c r="J190" s="2" t="s">
        <v>16</v>
      </c>
    </row>
    <row r="191" spans="1:10">
      <c r="A191" s="2" t="s">
        <v>814</v>
      </c>
      <c r="B191" s="2" t="s">
        <v>781</v>
      </c>
      <c r="C191" s="2" t="s">
        <v>782</v>
      </c>
      <c r="D191" s="2" t="s">
        <v>815</v>
      </c>
      <c r="E191" s="3">
        <v>46068.385329861216</v>
      </c>
      <c r="F191" s="2" t="s">
        <v>812</v>
      </c>
      <c r="G191" s="2" t="s">
        <v>813</v>
      </c>
      <c r="H191" s="2" t="s">
        <v>17</v>
      </c>
      <c r="I191" s="2" t="s">
        <v>786</v>
      </c>
      <c r="J191" s="2" t="s">
        <v>16</v>
      </c>
    </row>
    <row r="192" spans="1:10">
      <c r="A192" s="2" t="s">
        <v>814</v>
      </c>
      <c r="B192" s="2" t="s">
        <v>781</v>
      </c>
      <c r="C192" s="2" t="s">
        <v>782</v>
      </c>
      <c r="D192" s="2" t="s">
        <v>815</v>
      </c>
      <c r="E192" s="3">
        <v>46068.419670138988</v>
      </c>
      <c r="F192" s="2" t="s">
        <v>812</v>
      </c>
      <c r="G192" s="2" t="s">
        <v>813</v>
      </c>
      <c r="H192" s="2" t="s">
        <v>17</v>
      </c>
      <c r="I192" s="2" t="s">
        <v>786</v>
      </c>
      <c r="J192" s="2" t="s">
        <v>16</v>
      </c>
    </row>
    <row r="193" spans="1:10">
      <c r="A193" s="2" t="s">
        <v>814</v>
      </c>
      <c r="B193" s="2" t="s">
        <v>781</v>
      </c>
      <c r="C193" s="2" t="s">
        <v>782</v>
      </c>
      <c r="D193" s="2" t="s">
        <v>815</v>
      </c>
      <c r="E193" s="3">
        <v>46068.460781250105</v>
      </c>
      <c r="F193" s="2" t="s">
        <v>812</v>
      </c>
      <c r="G193" s="2" t="s">
        <v>813</v>
      </c>
      <c r="H193" s="2" t="s">
        <v>17</v>
      </c>
      <c r="I193" s="2" t="s">
        <v>786</v>
      </c>
      <c r="J193" s="2" t="s">
        <v>16</v>
      </c>
    </row>
    <row r="194" spans="1:10">
      <c r="A194" s="2" t="s">
        <v>814</v>
      </c>
      <c r="B194" s="2" t="s">
        <v>781</v>
      </c>
      <c r="C194" s="2" t="s">
        <v>782</v>
      </c>
      <c r="D194" s="2" t="s">
        <v>815</v>
      </c>
      <c r="E194" s="3">
        <v>46068.479346064916</v>
      </c>
      <c r="F194" s="2" t="s">
        <v>812</v>
      </c>
      <c r="G194" s="2" t="s">
        <v>813</v>
      </c>
      <c r="H194" s="2" t="s">
        <v>17</v>
      </c>
      <c r="I194" s="2" t="s">
        <v>786</v>
      </c>
      <c r="J194" s="2" t="s">
        <v>16</v>
      </c>
    </row>
    <row r="195" spans="1:10">
      <c r="A195" s="2" t="s">
        <v>814</v>
      </c>
      <c r="B195" s="2" t="s">
        <v>781</v>
      </c>
      <c r="C195" s="2" t="s">
        <v>782</v>
      </c>
      <c r="D195" s="2" t="s">
        <v>815</v>
      </c>
      <c r="E195" s="3">
        <v>46068.492309027883</v>
      </c>
      <c r="F195" s="2" t="s">
        <v>812</v>
      </c>
      <c r="G195" s="2" t="s">
        <v>813</v>
      </c>
      <c r="H195" s="2" t="s">
        <v>17</v>
      </c>
      <c r="I195" s="2" t="s">
        <v>786</v>
      </c>
      <c r="J195" s="2" t="s">
        <v>16</v>
      </c>
    </row>
    <row r="196" spans="1:10">
      <c r="A196" s="2" t="s">
        <v>814</v>
      </c>
      <c r="B196" s="2" t="s">
        <v>781</v>
      </c>
      <c r="C196" s="2" t="s">
        <v>782</v>
      </c>
      <c r="D196" s="2" t="s">
        <v>815</v>
      </c>
      <c r="E196" s="3">
        <v>46068.519612268617</v>
      </c>
      <c r="F196" s="2" t="s">
        <v>812</v>
      </c>
      <c r="G196" s="2" t="s">
        <v>813</v>
      </c>
      <c r="H196" s="2" t="s">
        <v>17</v>
      </c>
      <c r="I196" s="2" t="s">
        <v>786</v>
      </c>
      <c r="J196" s="2" t="s">
        <v>16</v>
      </c>
    </row>
    <row r="197" spans="1:10">
      <c r="A197" s="2" t="s">
        <v>814</v>
      </c>
      <c r="B197" s="2" t="s">
        <v>781</v>
      </c>
      <c r="C197" s="2" t="s">
        <v>782</v>
      </c>
      <c r="D197" s="2" t="s">
        <v>815</v>
      </c>
      <c r="E197" s="3">
        <v>46068.574288194548</v>
      </c>
      <c r="F197" s="2" t="s">
        <v>812</v>
      </c>
      <c r="G197" s="2" t="s">
        <v>813</v>
      </c>
      <c r="H197" s="2" t="s">
        <v>17</v>
      </c>
      <c r="I197" s="2" t="s">
        <v>786</v>
      </c>
      <c r="J197" s="2" t="s">
        <v>16</v>
      </c>
    </row>
    <row r="198" spans="1:10">
      <c r="A198" s="2" t="s">
        <v>814</v>
      </c>
      <c r="B198" s="2" t="s">
        <v>781</v>
      </c>
      <c r="C198" s="2" t="s">
        <v>782</v>
      </c>
      <c r="D198" s="2" t="s">
        <v>815</v>
      </c>
      <c r="E198" s="3">
        <v>46068.604334490839</v>
      </c>
      <c r="F198" s="2" t="s">
        <v>812</v>
      </c>
      <c r="G198" s="2" t="s">
        <v>813</v>
      </c>
      <c r="H198" s="2" t="s">
        <v>17</v>
      </c>
      <c r="I198" s="2" t="s">
        <v>786</v>
      </c>
      <c r="J198" s="2" t="s">
        <v>16</v>
      </c>
    </row>
    <row r="199" spans="1:10">
      <c r="A199" s="2" t="s">
        <v>814</v>
      </c>
      <c r="B199" s="2" t="s">
        <v>781</v>
      </c>
      <c r="C199" s="2" t="s">
        <v>782</v>
      </c>
      <c r="D199" s="2" t="s">
        <v>815</v>
      </c>
      <c r="E199" s="3">
        <v>46070.362737268617</v>
      </c>
      <c r="F199" s="2" t="s">
        <v>812</v>
      </c>
      <c r="G199" s="2" t="s">
        <v>813</v>
      </c>
      <c r="H199" s="2" t="s">
        <v>17</v>
      </c>
      <c r="I199" s="2" t="s">
        <v>786</v>
      </c>
      <c r="J199" s="2" t="s">
        <v>16</v>
      </c>
    </row>
    <row r="200" spans="1:10">
      <c r="A200" s="2" t="s">
        <v>814</v>
      </c>
      <c r="B200" s="2" t="s">
        <v>781</v>
      </c>
      <c r="C200" s="2" t="s">
        <v>782</v>
      </c>
      <c r="D200" s="2" t="s">
        <v>815</v>
      </c>
      <c r="E200" s="3">
        <v>46070.394681713064</v>
      </c>
      <c r="F200" s="2" t="s">
        <v>812</v>
      </c>
      <c r="G200" s="2" t="s">
        <v>813</v>
      </c>
      <c r="H200" s="2" t="s">
        <v>17</v>
      </c>
      <c r="I200" s="2" t="s">
        <v>786</v>
      </c>
      <c r="J200" s="2" t="s">
        <v>16</v>
      </c>
    </row>
    <row r="201" spans="1:10">
      <c r="A201" s="2" t="s">
        <v>814</v>
      </c>
      <c r="B201" s="2" t="s">
        <v>781</v>
      </c>
      <c r="C201" s="2" t="s">
        <v>782</v>
      </c>
      <c r="D201" s="2" t="s">
        <v>815</v>
      </c>
      <c r="E201" s="3">
        <v>46070.427667824173</v>
      </c>
      <c r="F201" s="2" t="s">
        <v>812</v>
      </c>
      <c r="G201" s="2" t="s">
        <v>813</v>
      </c>
      <c r="H201" s="2" t="s">
        <v>17</v>
      </c>
      <c r="I201" s="2" t="s">
        <v>786</v>
      </c>
      <c r="J201" s="2" t="s">
        <v>16</v>
      </c>
    </row>
    <row r="202" spans="1:10">
      <c r="A202" s="2" t="s">
        <v>814</v>
      </c>
      <c r="B202" s="2" t="s">
        <v>781</v>
      </c>
      <c r="C202" s="2" t="s">
        <v>782</v>
      </c>
      <c r="D202" s="2" t="s">
        <v>815</v>
      </c>
      <c r="E202" s="3">
        <v>46070.45346643529</v>
      </c>
      <c r="F202" s="2" t="s">
        <v>812</v>
      </c>
      <c r="G202" s="2" t="s">
        <v>813</v>
      </c>
      <c r="H202" s="2" t="s">
        <v>17</v>
      </c>
      <c r="I202" s="2" t="s">
        <v>786</v>
      </c>
      <c r="J202" s="2" t="s">
        <v>16</v>
      </c>
    </row>
    <row r="203" spans="1:10">
      <c r="A203" s="2" t="s">
        <v>814</v>
      </c>
      <c r="B203" s="2" t="s">
        <v>781</v>
      </c>
      <c r="C203" s="2" t="s">
        <v>782</v>
      </c>
      <c r="D203" s="2" t="s">
        <v>815</v>
      </c>
      <c r="E203" s="3">
        <v>46070.466857638989</v>
      </c>
      <c r="F203" s="2" t="s">
        <v>812</v>
      </c>
      <c r="G203" s="2" t="s">
        <v>813</v>
      </c>
      <c r="H203" s="2" t="s">
        <v>17</v>
      </c>
      <c r="I203" s="2" t="s">
        <v>786</v>
      </c>
      <c r="J203" s="2" t="s">
        <v>16</v>
      </c>
    </row>
    <row r="204" spans="1:10">
      <c r="A204" s="2" t="s">
        <v>814</v>
      </c>
      <c r="B204" s="2" t="s">
        <v>781</v>
      </c>
      <c r="C204" s="2" t="s">
        <v>782</v>
      </c>
      <c r="D204" s="2" t="s">
        <v>815</v>
      </c>
      <c r="E204" s="3">
        <v>46070.515364583436</v>
      </c>
      <c r="F204" s="2" t="s">
        <v>812</v>
      </c>
      <c r="G204" s="2" t="s">
        <v>813</v>
      </c>
      <c r="H204" s="2" t="s">
        <v>17</v>
      </c>
      <c r="I204" s="2" t="s">
        <v>786</v>
      </c>
      <c r="J204" s="2" t="s">
        <v>16</v>
      </c>
    </row>
    <row r="205" spans="1:10">
      <c r="A205" s="2" t="s">
        <v>814</v>
      </c>
      <c r="B205" s="2" t="s">
        <v>781</v>
      </c>
      <c r="C205" s="2" t="s">
        <v>782</v>
      </c>
      <c r="D205" s="2" t="s">
        <v>815</v>
      </c>
      <c r="E205" s="3">
        <v>46070.528478009364</v>
      </c>
      <c r="F205" s="2" t="s">
        <v>812</v>
      </c>
      <c r="G205" s="2" t="s">
        <v>813</v>
      </c>
      <c r="H205" s="2" t="s">
        <v>17</v>
      </c>
      <c r="I205" s="2" t="s">
        <v>786</v>
      </c>
      <c r="J205" s="2" t="s">
        <v>16</v>
      </c>
    </row>
    <row r="206" spans="1:10">
      <c r="A206" s="2" t="s">
        <v>814</v>
      </c>
      <c r="B206" s="2" t="s">
        <v>781</v>
      </c>
      <c r="C206" s="2" t="s">
        <v>782</v>
      </c>
      <c r="D206" s="2" t="s">
        <v>815</v>
      </c>
      <c r="E206" s="3">
        <v>46070.559901620472</v>
      </c>
      <c r="F206" s="2" t="s">
        <v>812</v>
      </c>
      <c r="G206" s="2" t="s">
        <v>813</v>
      </c>
      <c r="H206" s="2" t="s">
        <v>17</v>
      </c>
      <c r="I206" s="2" t="s">
        <v>786</v>
      </c>
      <c r="J206" s="2" t="s">
        <v>16</v>
      </c>
    </row>
    <row r="207" spans="1:10">
      <c r="A207" s="2" t="s">
        <v>814</v>
      </c>
      <c r="B207" s="2" t="s">
        <v>781</v>
      </c>
      <c r="C207" s="2" t="s">
        <v>782</v>
      </c>
      <c r="D207" s="2" t="s">
        <v>815</v>
      </c>
      <c r="E207" s="3">
        <v>46070.579994213062</v>
      </c>
      <c r="F207" s="2" t="s">
        <v>812</v>
      </c>
      <c r="G207" s="2" t="s">
        <v>813</v>
      </c>
      <c r="H207" s="2" t="s">
        <v>17</v>
      </c>
      <c r="I207" s="2" t="s">
        <v>786</v>
      </c>
      <c r="J207" s="2" t="s">
        <v>16</v>
      </c>
    </row>
    <row r="208" spans="1:10">
      <c r="A208" s="2" t="s">
        <v>814</v>
      </c>
      <c r="B208" s="2" t="s">
        <v>781</v>
      </c>
      <c r="C208" s="2" t="s">
        <v>782</v>
      </c>
      <c r="D208" s="2" t="s">
        <v>815</v>
      </c>
      <c r="E208" s="3">
        <v>46070.636059027878</v>
      </c>
      <c r="F208" s="2" t="s">
        <v>812</v>
      </c>
      <c r="G208" s="2" t="s">
        <v>813</v>
      </c>
      <c r="H208" s="2" t="s">
        <v>17</v>
      </c>
      <c r="I208" s="2" t="s">
        <v>786</v>
      </c>
      <c r="J208" s="2" t="s">
        <v>16</v>
      </c>
    </row>
    <row r="209" spans="1:10">
      <c r="A209" s="2" t="s">
        <v>814</v>
      </c>
      <c r="B209" s="2" t="s">
        <v>781</v>
      </c>
      <c r="C209" s="2" t="s">
        <v>782</v>
      </c>
      <c r="D209" s="2" t="s">
        <v>815</v>
      </c>
      <c r="E209" s="3">
        <v>46070.656545138991</v>
      </c>
      <c r="F209" s="2" t="s">
        <v>795</v>
      </c>
      <c r="G209" s="2" t="s">
        <v>796</v>
      </c>
      <c r="H209" s="2" t="s">
        <v>17</v>
      </c>
      <c r="I209" s="2" t="s">
        <v>786</v>
      </c>
      <c r="J209" s="2" t="s">
        <v>16</v>
      </c>
    </row>
    <row r="210" spans="1:10">
      <c r="A210" s="2" t="s">
        <v>814</v>
      </c>
      <c r="B210" s="2" t="s">
        <v>781</v>
      </c>
      <c r="C210" s="2" t="s">
        <v>782</v>
      </c>
      <c r="D210" s="2" t="s">
        <v>815</v>
      </c>
      <c r="E210" s="3">
        <v>46071.379785879733</v>
      </c>
      <c r="F210" s="2" t="s">
        <v>812</v>
      </c>
      <c r="G210" s="2" t="s">
        <v>813</v>
      </c>
      <c r="H210" s="2" t="s">
        <v>17</v>
      </c>
      <c r="I210" s="2" t="s">
        <v>786</v>
      </c>
      <c r="J210" s="2" t="s">
        <v>16</v>
      </c>
    </row>
    <row r="211" spans="1:10">
      <c r="A211" s="2" t="s">
        <v>814</v>
      </c>
      <c r="B211" s="2" t="s">
        <v>781</v>
      </c>
      <c r="C211" s="2" t="s">
        <v>782</v>
      </c>
      <c r="D211" s="2" t="s">
        <v>815</v>
      </c>
      <c r="E211" s="3">
        <v>46071.422702546399</v>
      </c>
      <c r="F211" s="2" t="s">
        <v>812</v>
      </c>
      <c r="G211" s="2" t="s">
        <v>813</v>
      </c>
      <c r="H211" s="2" t="s">
        <v>17</v>
      </c>
      <c r="I211" s="2" t="s">
        <v>786</v>
      </c>
      <c r="J211" s="2" t="s">
        <v>16</v>
      </c>
    </row>
    <row r="212" spans="1:10">
      <c r="A212" s="2" t="s">
        <v>814</v>
      </c>
      <c r="B212" s="2" t="s">
        <v>781</v>
      </c>
      <c r="C212" s="2" t="s">
        <v>782</v>
      </c>
      <c r="D212" s="2" t="s">
        <v>815</v>
      </c>
      <c r="E212" s="3">
        <v>46071.454427083438</v>
      </c>
      <c r="F212" s="2" t="s">
        <v>812</v>
      </c>
      <c r="G212" s="2" t="s">
        <v>813</v>
      </c>
      <c r="H212" s="2" t="s">
        <v>17</v>
      </c>
      <c r="I212" s="2" t="s">
        <v>786</v>
      </c>
      <c r="J212" s="2" t="s">
        <v>16</v>
      </c>
    </row>
    <row r="213" spans="1:10">
      <c r="A213" s="2" t="s">
        <v>814</v>
      </c>
      <c r="B213" s="2" t="s">
        <v>781</v>
      </c>
      <c r="C213" s="2" t="s">
        <v>782</v>
      </c>
      <c r="D213" s="2" t="s">
        <v>815</v>
      </c>
      <c r="E213" s="3">
        <v>46071.493466435284</v>
      </c>
      <c r="F213" s="2" t="s">
        <v>812</v>
      </c>
      <c r="G213" s="2" t="s">
        <v>813</v>
      </c>
      <c r="H213" s="2" t="s">
        <v>17</v>
      </c>
      <c r="I213" s="2" t="s">
        <v>786</v>
      </c>
      <c r="J213" s="2" t="s">
        <v>16</v>
      </c>
    </row>
    <row r="214" spans="1:10">
      <c r="A214" s="2" t="s">
        <v>814</v>
      </c>
      <c r="B214" s="2" t="s">
        <v>781</v>
      </c>
      <c r="C214" s="2" t="s">
        <v>782</v>
      </c>
      <c r="D214" s="2" t="s">
        <v>815</v>
      </c>
      <c r="E214" s="3">
        <v>46071.529762731581</v>
      </c>
      <c r="F214" s="2" t="s">
        <v>812</v>
      </c>
      <c r="G214" s="2" t="s">
        <v>813</v>
      </c>
      <c r="H214" s="2" t="s">
        <v>17</v>
      </c>
      <c r="I214" s="2" t="s">
        <v>786</v>
      </c>
      <c r="J214" s="2" t="s">
        <v>16</v>
      </c>
    </row>
    <row r="215" spans="1:10">
      <c r="A215" s="2" t="s">
        <v>814</v>
      </c>
      <c r="B215" s="2" t="s">
        <v>781</v>
      </c>
      <c r="C215" s="2" t="s">
        <v>782</v>
      </c>
      <c r="D215" s="2" t="s">
        <v>815</v>
      </c>
      <c r="E215" s="3">
        <v>46071.562135416767</v>
      </c>
      <c r="F215" s="2" t="s">
        <v>812</v>
      </c>
      <c r="G215" s="2" t="s">
        <v>813</v>
      </c>
      <c r="H215" s="2" t="s">
        <v>17</v>
      </c>
      <c r="I215" s="2" t="s">
        <v>786</v>
      </c>
      <c r="J215" s="2" t="s">
        <v>16</v>
      </c>
    </row>
    <row r="216" spans="1:10">
      <c r="A216" s="2" t="s">
        <v>814</v>
      </c>
      <c r="B216" s="2" t="s">
        <v>781</v>
      </c>
      <c r="C216" s="2" t="s">
        <v>782</v>
      </c>
      <c r="D216" s="2" t="s">
        <v>815</v>
      </c>
      <c r="E216" s="3">
        <v>46071.604033564916</v>
      </c>
      <c r="F216" s="2" t="s">
        <v>812</v>
      </c>
      <c r="G216" s="2" t="s">
        <v>813</v>
      </c>
      <c r="H216" s="2" t="s">
        <v>17</v>
      </c>
      <c r="I216" s="2" t="s">
        <v>786</v>
      </c>
      <c r="J216" s="2" t="s">
        <v>16</v>
      </c>
    </row>
    <row r="217" spans="1:10">
      <c r="A217" s="2" t="s">
        <v>814</v>
      </c>
      <c r="B217" s="2" t="s">
        <v>781</v>
      </c>
      <c r="C217" s="2" t="s">
        <v>782</v>
      </c>
      <c r="D217" s="2" t="s">
        <v>815</v>
      </c>
      <c r="E217" s="3">
        <v>46071.623188657511</v>
      </c>
      <c r="F217" s="2" t="s">
        <v>812</v>
      </c>
      <c r="G217" s="2" t="s">
        <v>813</v>
      </c>
      <c r="H217" s="2" t="s">
        <v>17</v>
      </c>
      <c r="I217" s="2" t="s">
        <v>786</v>
      </c>
      <c r="J217" s="2" t="s">
        <v>16</v>
      </c>
    </row>
    <row r="218" spans="1:10">
      <c r="A218" s="2" t="s">
        <v>814</v>
      </c>
      <c r="B218" s="2" t="s">
        <v>781</v>
      </c>
      <c r="C218" s="2" t="s">
        <v>782</v>
      </c>
      <c r="D218" s="2" t="s">
        <v>815</v>
      </c>
      <c r="E218" s="3">
        <v>46071.631684027881</v>
      </c>
      <c r="F218" s="2" t="s">
        <v>812</v>
      </c>
      <c r="G218" s="2" t="s">
        <v>813</v>
      </c>
      <c r="H218" s="2" t="s">
        <v>17</v>
      </c>
      <c r="I218" s="2" t="s">
        <v>786</v>
      </c>
      <c r="J218" s="2" t="s">
        <v>16</v>
      </c>
    </row>
    <row r="219" spans="1:10">
      <c r="A219" s="2" t="s">
        <v>814</v>
      </c>
      <c r="B219" s="2" t="s">
        <v>781</v>
      </c>
      <c r="C219" s="2" t="s">
        <v>782</v>
      </c>
      <c r="D219" s="2" t="s">
        <v>815</v>
      </c>
      <c r="E219" s="3">
        <v>46072.396614583435</v>
      </c>
      <c r="F219" s="2" t="s">
        <v>812</v>
      </c>
      <c r="G219" s="2" t="s">
        <v>813</v>
      </c>
      <c r="H219" s="2" t="s">
        <v>17</v>
      </c>
      <c r="I219" s="2" t="s">
        <v>786</v>
      </c>
      <c r="J219" s="2" t="s">
        <v>16</v>
      </c>
    </row>
    <row r="220" spans="1:10">
      <c r="A220" s="2" t="s">
        <v>816</v>
      </c>
      <c r="B220" s="2" t="s">
        <v>781</v>
      </c>
      <c r="C220" s="2" t="s">
        <v>782</v>
      </c>
      <c r="D220" s="2" t="s">
        <v>817</v>
      </c>
      <c r="E220" s="3">
        <v>46063.490486111114</v>
      </c>
      <c r="F220" s="2" t="s">
        <v>812</v>
      </c>
      <c r="G220" s="2" t="s">
        <v>813</v>
      </c>
      <c r="H220" s="2" t="s">
        <v>17</v>
      </c>
      <c r="I220" s="2" t="s">
        <v>786</v>
      </c>
      <c r="J220" s="2" t="s">
        <v>16</v>
      </c>
    </row>
    <row r="221" spans="1:10">
      <c r="A221" s="2" t="s">
        <v>816</v>
      </c>
      <c r="B221" s="2" t="s">
        <v>781</v>
      </c>
      <c r="C221" s="2" t="s">
        <v>782</v>
      </c>
      <c r="D221" s="2" t="s">
        <v>817</v>
      </c>
      <c r="E221" s="3">
        <v>46063.571250000001</v>
      </c>
      <c r="F221" s="2" t="s">
        <v>812</v>
      </c>
      <c r="G221" s="2" t="s">
        <v>813</v>
      </c>
      <c r="H221" s="2" t="s">
        <v>17</v>
      </c>
      <c r="I221" s="2" t="s">
        <v>786</v>
      </c>
      <c r="J221" s="2" t="s">
        <v>16</v>
      </c>
    </row>
    <row r="222" spans="1:10">
      <c r="A222" s="2" t="s">
        <v>816</v>
      </c>
      <c r="B222" s="2" t="s">
        <v>781</v>
      </c>
      <c r="C222" s="2" t="s">
        <v>782</v>
      </c>
      <c r="D222" s="2" t="s">
        <v>817</v>
      </c>
      <c r="E222" s="3">
        <v>46063.613969907405</v>
      </c>
      <c r="F222" s="2" t="s">
        <v>812</v>
      </c>
      <c r="G222" s="2" t="s">
        <v>813</v>
      </c>
      <c r="H222" s="2" t="s">
        <v>17</v>
      </c>
      <c r="I222" s="2" t="s">
        <v>786</v>
      </c>
      <c r="J222" s="2" t="s">
        <v>16</v>
      </c>
    </row>
    <row r="223" spans="1:10">
      <c r="A223" s="2" t="s">
        <v>816</v>
      </c>
      <c r="B223" s="2" t="s">
        <v>781</v>
      </c>
      <c r="C223" s="2" t="s">
        <v>782</v>
      </c>
      <c r="D223" s="2" t="s">
        <v>817</v>
      </c>
      <c r="E223" s="3">
        <v>46063.630648148152</v>
      </c>
      <c r="F223" s="2" t="s">
        <v>812</v>
      </c>
      <c r="G223" s="2" t="s">
        <v>813</v>
      </c>
      <c r="H223" s="2" t="s">
        <v>17</v>
      </c>
      <c r="I223" s="2" t="s">
        <v>786</v>
      </c>
      <c r="J223" s="2" t="s">
        <v>16</v>
      </c>
    </row>
    <row r="224" spans="1:10">
      <c r="A224" s="2" t="s">
        <v>816</v>
      </c>
      <c r="B224" s="2" t="s">
        <v>781</v>
      </c>
      <c r="C224" s="2" t="s">
        <v>782</v>
      </c>
      <c r="D224" s="2" t="s">
        <v>817</v>
      </c>
      <c r="E224" s="3">
        <v>46063.654699074075</v>
      </c>
      <c r="F224" s="2" t="s">
        <v>812</v>
      </c>
      <c r="G224" s="2" t="s">
        <v>813</v>
      </c>
      <c r="H224" s="2" t="s">
        <v>17</v>
      </c>
      <c r="I224" s="2" t="s">
        <v>786</v>
      </c>
      <c r="J224" s="2" t="s">
        <v>16</v>
      </c>
    </row>
    <row r="225" spans="1:10">
      <c r="A225" s="2" t="s">
        <v>816</v>
      </c>
      <c r="B225" s="2" t="s">
        <v>781</v>
      </c>
      <c r="C225" s="2" t="s">
        <v>782</v>
      </c>
      <c r="D225" s="2" t="s">
        <v>817</v>
      </c>
      <c r="E225" s="3">
        <v>46063.683229166665</v>
      </c>
      <c r="F225" s="2" t="s">
        <v>812</v>
      </c>
      <c r="G225" s="2" t="s">
        <v>813</v>
      </c>
      <c r="H225" s="2" t="s">
        <v>17</v>
      </c>
      <c r="I225" s="2" t="s">
        <v>786</v>
      </c>
      <c r="J225" s="2" t="s">
        <v>16</v>
      </c>
    </row>
    <row r="226" spans="1:10">
      <c r="A226" s="2" t="s">
        <v>816</v>
      </c>
      <c r="B226" s="2" t="s">
        <v>781</v>
      </c>
      <c r="C226" s="2" t="s">
        <v>782</v>
      </c>
      <c r="D226" s="2" t="s">
        <v>817</v>
      </c>
      <c r="E226" s="3">
        <v>46063.721458333333</v>
      </c>
      <c r="F226" s="2" t="s">
        <v>812</v>
      </c>
      <c r="G226" s="2" t="s">
        <v>813</v>
      </c>
      <c r="H226" s="2" t="s">
        <v>17</v>
      </c>
      <c r="I226" s="2" t="s">
        <v>786</v>
      </c>
      <c r="J226" s="2" t="s">
        <v>16</v>
      </c>
    </row>
    <row r="227" spans="1:10">
      <c r="A227" s="2" t="s">
        <v>816</v>
      </c>
      <c r="B227" s="2" t="s">
        <v>781</v>
      </c>
      <c r="C227" s="2" t="s">
        <v>782</v>
      </c>
      <c r="D227" s="2" t="s">
        <v>817</v>
      </c>
      <c r="E227" s="3">
        <v>46063.735636574071</v>
      </c>
      <c r="F227" s="2" t="s">
        <v>812</v>
      </c>
      <c r="G227" s="2" t="s">
        <v>813</v>
      </c>
      <c r="H227" s="2" t="s">
        <v>17</v>
      </c>
      <c r="I227" s="2" t="s">
        <v>786</v>
      </c>
      <c r="J227" s="2" t="s">
        <v>16</v>
      </c>
    </row>
    <row r="228" spans="1:10">
      <c r="A228" s="2" t="s">
        <v>816</v>
      </c>
      <c r="B228" s="2" t="s">
        <v>781</v>
      </c>
      <c r="C228" s="2" t="s">
        <v>782</v>
      </c>
      <c r="D228" s="2" t="s">
        <v>817</v>
      </c>
      <c r="E228" s="3">
        <v>46063.770150462966</v>
      </c>
      <c r="F228" s="2" t="s">
        <v>812</v>
      </c>
      <c r="G228" s="2" t="s">
        <v>813</v>
      </c>
      <c r="H228" s="2" t="s">
        <v>17</v>
      </c>
      <c r="I228" s="2" t="s">
        <v>786</v>
      </c>
      <c r="J228" s="2" t="s">
        <v>16</v>
      </c>
    </row>
    <row r="229" spans="1:10">
      <c r="A229" s="2" t="s">
        <v>816</v>
      </c>
      <c r="B229" s="2" t="s">
        <v>781</v>
      </c>
      <c r="C229" s="2" t="s">
        <v>782</v>
      </c>
      <c r="D229" s="2" t="s">
        <v>817</v>
      </c>
      <c r="E229" s="3">
        <v>46063.805671296293</v>
      </c>
      <c r="F229" s="2" t="s">
        <v>812</v>
      </c>
      <c r="G229" s="2" t="s">
        <v>813</v>
      </c>
      <c r="H229" s="2" t="s">
        <v>17</v>
      </c>
      <c r="I229" s="2" t="s">
        <v>786</v>
      </c>
      <c r="J229" s="2" t="s">
        <v>16</v>
      </c>
    </row>
    <row r="230" spans="1:10">
      <c r="A230" s="2" t="s">
        <v>816</v>
      </c>
      <c r="B230" s="2" t="s">
        <v>781</v>
      </c>
      <c r="C230" s="2" t="s">
        <v>782</v>
      </c>
      <c r="D230" s="2" t="s">
        <v>817</v>
      </c>
      <c r="E230" s="3">
        <v>46064.593391203707</v>
      </c>
      <c r="F230" s="2" t="s">
        <v>812</v>
      </c>
      <c r="G230" s="2" t="s">
        <v>813</v>
      </c>
      <c r="H230" s="2" t="s">
        <v>17</v>
      </c>
      <c r="I230" s="2" t="s">
        <v>786</v>
      </c>
      <c r="J230" s="2" t="s">
        <v>16</v>
      </c>
    </row>
    <row r="231" spans="1:10">
      <c r="A231" s="2" t="s">
        <v>816</v>
      </c>
      <c r="B231" s="2" t="s">
        <v>781</v>
      </c>
      <c r="C231" s="2" t="s">
        <v>782</v>
      </c>
      <c r="D231" s="2" t="s">
        <v>817</v>
      </c>
      <c r="E231" s="3">
        <v>46064.627256944441</v>
      </c>
      <c r="F231" s="2" t="s">
        <v>812</v>
      </c>
      <c r="G231" s="2" t="s">
        <v>813</v>
      </c>
      <c r="H231" s="2" t="s">
        <v>17</v>
      </c>
      <c r="I231" s="2" t="s">
        <v>786</v>
      </c>
      <c r="J231" s="2" t="s">
        <v>16</v>
      </c>
    </row>
    <row r="232" spans="1:10">
      <c r="A232" s="2" t="s">
        <v>816</v>
      </c>
      <c r="B232" s="2" t="s">
        <v>781</v>
      </c>
      <c r="C232" s="2" t="s">
        <v>782</v>
      </c>
      <c r="D232" s="2" t="s">
        <v>817</v>
      </c>
      <c r="E232" s="3">
        <v>46064.661006944443</v>
      </c>
      <c r="F232" s="2" t="s">
        <v>812</v>
      </c>
      <c r="G232" s="2" t="s">
        <v>813</v>
      </c>
      <c r="H232" s="2" t="s">
        <v>17</v>
      </c>
      <c r="I232" s="2" t="s">
        <v>786</v>
      </c>
      <c r="J232" s="2" t="s">
        <v>16</v>
      </c>
    </row>
    <row r="233" spans="1:10">
      <c r="A233" s="2" t="s">
        <v>816</v>
      </c>
      <c r="B233" s="2" t="s">
        <v>781</v>
      </c>
      <c r="C233" s="2" t="s">
        <v>782</v>
      </c>
      <c r="D233" s="2" t="s">
        <v>817</v>
      </c>
      <c r="E233" s="3">
        <v>46064.690324074072</v>
      </c>
      <c r="F233" s="2" t="s">
        <v>812</v>
      </c>
      <c r="G233" s="2" t="s">
        <v>813</v>
      </c>
      <c r="H233" s="2" t="s">
        <v>17</v>
      </c>
      <c r="I233" s="2" t="s">
        <v>786</v>
      </c>
      <c r="J233" s="2" t="s">
        <v>16</v>
      </c>
    </row>
    <row r="234" spans="1:10">
      <c r="A234" s="2" t="s">
        <v>816</v>
      </c>
      <c r="B234" s="2" t="s">
        <v>781</v>
      </c>
      <c r="C234" s="2" t="s">
        <v>782</v>
      </c>
      <c r="D234" s="2" t="s">
        <v>817</v>
      </c>
      <c r="E234" s="3">
        <v>46064.721446759257</v>
      </c>
      <c r="F234" s="2" t="s">
        <v>812</v>
      </c>
      <c r="G234" s="2" t="s">
        <v>813</v>
      </c>
      <c r="H234" s="2" t="s">
        <v>17</v>
      </c>
      <c r="I234" s="2" t="s">
        <v>786</v>
      </c>
      <c r="J234" s="2" t="s">
        <v>16</v>
      </c>
    </row>
    <row r="235" spans="1:10">
      <c r="A235" s="2" t="s">
        <v>816</v>
      </c>
      <c r="B235" s="2" t="s">
        <v>781</v>
      </c>
      <c r="C235" s="2" t="s">
        <v>782</v>
      </c>
      <c r="D235" s="2" t="s">
        <v>817</v>
      </c>
      <c r="E235" s="3">
        <v>46064.748020833336</v>
      </c>
      <c r="F235" s="2" t="s">
        <v>812</v>
      </c>
      <c r="G235" s="2" t="s">
        <v>813</v>
      </c>
      <c r="H235" s="2" t="s">
        <v>17</v>
      </c>
      <c r="I235" s="2" t="s">
        <v>786</v>
      </c>
      <c r="J235" s="2" t="s">
        <v>16</v>
      </c>
    </row>
    <row r="236" spans="1:10">
      <c r="A236" s="2" t="s">
        <v>816</v>
      </c>
      <c r="B236" s="2" t="s">
        <v>781</v>
      </c>
      <c r="C236" s="2" t="s">
        <v>782</v>
      </c>
      <c r="D236" s="2" t="s">
        <v>817</v>
      </c>
      <c r="E236" s="3">
        <v>46064.781377314815</v>
      </c>
      <c r="F236" s="2" t="s">
        <v>812</v>
      </c>
      <c r="G236" s="2" t="s">
        <v>813</v>
      </c>
      <c r="H236" s="2" t="s">
        <v>17</v>
      </c>
      <c r="I236" s="2" t="s">
        <v>786</v>
      </c>
      <c r="J236" s="2" t="s">
        <v>16</v>
      </c>
    </row>
    <row r="237" spans="1:10">
      <c r="A237" s="2" t="s">
        <v>816</v>
      </c>
      <c r="B237" s="2" t="s">
        <v>781</v>
      </c>
      <c r="C237" s="2" t="s">
        <v>782</v>
      </c>
      <c r="D237" s="2" t="s">
        <v>817</v>
      </c>
      <c r="E237" s="3">
        <v>46064.805451388886</v>
      </c>
      <c r="F237" s="2" t="s">
        <v>812</v>
      </c>
      <c r="G237" s="2" t="s">
        <v>813</v>
      </c>
      <c r="H237" s="2" t="s">
        <v>17</v>
      </c>
      <c r="I237" s="2" t="s">
        <v>786</v>
      </c>
      <c r="J237" s="2" t="s">
        <v>16</v>
      </c>
    </row>
    <row r="238" spans="1:10">
      <c r="A238" s="2" t="s">
        <v>816</v>
      </c>
      <c r="B238" s="2" t="s">
        <v>781</v>
      </c>
      <c r="C238" s="2" t="s">
        <v>782</v>
      </c>
      <c r="D238" s="2" t="s">
        <v>817</v>
      </c>
      <c r="E238" s="3">
        <v>46064.811747685184</v>
      </c>
      <c r="F238" s="2" t="s">
        <v>812</v>
      </c>
      <c r="G238" s="2" t="s">
        <v>813</v>
      </c>
      <c r="H238" s="2" t="s">
        <v>17</v>
      </c>
      <c r="I238" s="2" t="s">
        <v>786</v>
      </c>
      <c r="J238" s="2" t="s">
        <v>16</v>
      </c>
    </row>
    <row r="239" spans="1:10">
      <c r="A239" s="2" t="s">
        <v>816</v>
      </c>
      <c r="B239" s="2" t="s">
        <v>781</v>
      </c>
      <c r="C239" s="2" t="s">
        <v>782</v>
      </c>
      <c r="D239" s="2" t="s">
        <v>817</v>
      </c>
      <c r="E239" s="3">
        <v>46064.835949074077</v>
      </c>
      <c r="F239" s="2" t="s">
        <v>812</v>
      </c>
      <c r="G239" s="2" t="s">
        <v>813</v>
      </c>
      <c r="H239" s="2" t="s">
        <v>17</v>
      </c>
      <c r="I239" s="2" t="s">
        <v>786</v>
      </c>
      <c r="J239" s="2" t="s">
        <v>16</v>
      </c>
    </row>
    <row r="240" spans="1:10">
      <c r="A240" s="2" t="s">
        <v>816</v>
      </c>
      <c r="B240" s="2" t="s">
        <v>781</v>
      </c>
      <c r="C240" s="2" t="s">
        <v>782</v>
      </c>
      <c r="D240" s="2" t="s">
        <v>817</v>
      </c>
      <c r="E240" s="3">
        <v>46065.767569444448</v>
      </c>
      <c r="F240" s="2" t="s">
        <v>812</v>
      </c>
      <c r="G240" s="2" t="s">
        <v>813</v>
      </c>
      <c r="H240" s="2" t="s">
        <v>17</v>
      </c>
      <c r="I240" s="2" t="s">
        <v>786</v>
      </c>
      <c r="J240" s="2" t="s">
        <v>16</v>
      </c>
    </row>
    <row r="241" spans="1:10">
      <c r="A241" s="2" t="s">
        <v>816</v>
      </c>
      <c r="B241" s="2" t="s">
        <v>781</v>
      </c>
      <c r="C241" s="2" t="s">
        <v>782</v>
      </c>
      <c r="D241" s="2" t="s">
        <v>817</v>
      </c>
      <c r="E241" s="3">
        <v>46065.815300925926</v>
      </c>
      <c r="F241" s="2" t="s">
        <v>812</v>
      </c>
      <c r="G241" s="2" t="s">
        <v>813</v>
      </c>
      <c r="H241" s="2" t="s">
        <v>17</v>
      </c>
      <c r="I241" s="2" t="s">
        <v>786</v>
      </c>
      <c r="J241" s="2" t="s">
        <v>16</v>
      </c>
    </row>
    <row r="242" spans="1:10">
      <c r="A242" s="2" t="s">
        <v>816</v>
      </c>
      <c r="B242" s="2" t="s">
        <v>781</v>
      </c>
      <c r="C242" s="2" t="s">
        <v>782</v>
      </c>
      <c r="D242" s="2" t="s">
        <v>817</v>
      </c>
      <c r="E242" s="3">
        <v>46068.595590277779</v>
      </c>
      <c r="F242" s="2" t="s">
        <v>812</v>
      </c>
      <c r="G242" s="2" t="s">
        <v>813</v>
      </c>
      <c r="H242" s="2" t="s">
        <v>17</v>
      </c>
      <c r="I242" s="2" t="s">
        <v>786</v>
      </c>
      <c r="J242" s="2" t="s">
        <v>16</v>
      </c>
    </row>
    <row r="243" spans="1:10">
      <c r="A243" s="2" t="s">
        <v>816</v>
      </c>
      <c r="B243" s="2" t="s">
        <v>781</v>
      </c>
      <c r="C243" s="2" t="s">
        <v>782</v>
      </c>
      <c r="D243" s="2" t="s">
        <v>817</v>
      </c>
      <c r="E243" s="3">
        <v>46068.638310185182</v>
      </c>
      <c r="F243" s="2" t="s">
        <v>812</v>
      </c>
      <c r="G243" s="2" t="s">
        <v>813</v>
      </c>
      <c r="H243" s="2" t="s">
        <v>17</v>
      </c>
      <c r="I243" s="2" t="s">
        <v>786</v>
      </c>
      <c r="J243" s="2" t="s">
        <v>16</v>
      </c>
    </row>
    <row r="244" spans="1:10">
      <c r="A244" s="2" t="s">
        <v>816</v>
      </c>
      <c r="B244" s="2" t="s">
        <v>781</v>
      </c>
      <c r="C244" s="2" t="s">
        <v>782</v>
      </c>
      <c r="D244" s="2" t="s">
        <v>817</v>
      </c>
      <c r="E244" s="3">
        <v>46068.676238425927</v>
      </c>
      <c r="F244" s="2" t="s">
        <v>812</v>
      </c>
      <c r="G244" s="2" t="s">
        <v>813</v>
      </c>
      <c r="H244" s="2" t="s">
        <v>17</v>
      </c>
      <c r="I244" s="2" t="s">
        <v>786</v>
      </c>
      <c r="J244" s="2" t="s">
        <v>16</v>
      </c>
    </row>
    <row r="245" spans="1:10">
      <c r="A245" s="2" t="s">
        <v>816</v>
      </c>
      <c r="B245" s="2" t="s">
        <v>781</v>
      </c>
      <c r="C245" s="2" t="s">
        <v>782</v>
      </c>
      <c r="D245" s="2" t="s">
        <v>817</v>
      </c>
      <c r="E245" s="3">
        <v>46068.684895833336</v>
      </c>
      <c r="F245" s="2" t="s">
        <v>812</v>
      </c>
      <c r="G245" s="2" t="s">
        <v>813</v>
      </c>
      <c r="H245" s="2" t="s">
        <v>17</v>
      </c>
      <c r="I245" s="2" t="s">
        <v>786</v>
      </c>
      <c r="J245" s="2" t="s">
        <v>16</v>
      </c>
    </row>
    <row r="246" spans="1:10">
      <c r="A246" s="2" t="s">
        <v>816</v>
      </c>
      <c r="B246" s="2" t="s">
        <v>781</v>
      </c>
      <c r="C246" s="2" t="s">
        <v>782</v>
      </c>
      <c r="D246" s="2" t="s">
        <v>817</v>
      </c>
      <c r="E246" s="3">
        <v>46068.699965277781</v>
      </c>
      <c r="F246" s="2" t="s">
        <v>812</v>
      </c>
      <c r="G246" s="2" t="s">
        <v>813</v>
      </c>
      <c r="H246" s="2" t="s">
        <v>17</v>
      </c>
      <c r="I246" s="2" t="s">
        <v>786</v>
      </c>
      <c r="J246" s="2" t="s">
        <v>16</v>
      </c>
    </row>
    <row r="247" spans="1:10">
      <c r="A247" s="2" t="s">
        <v>816</v>
      </c>
      <c r="B247" s="2" t="s">
        <v>781</v>
      </c>
      <c r="C247" s="2" t="s">
        <v>782</v>
      </c>
      <c r="D247" s="2" t="s">
        <v>817</v>
      </c>
      <c r="E247" s="3">
        <v>46068.711053240739</v>
      </c>
      <c r="F247" s="2" t="s">
        <v>812</v>
      </c>
      <c r="G247" s="2" t="s">
        <v>813</v>
      </c>
      <c r="H247" s="2" t="s">
        <v>17</v>
      </c>
      <c r="I247" s="2" t="s">
        <v>786</v>
      </c>
      <c r="J247" s="2" t="s">
        <v>16</v>
      </c>
    </row>
    <row r="248" spans="1:10">
      <c r="A248" s="2" t="s">
        <v>816</v>
      </c>
      <c r="B248" s="2" t="s">
        <v>781</v>
      </c>
      <c r="C248" s="2" t="s">
        <v>782</v>
      </c>
      <c r="D248" s="2" t="s">
        <v>817</v>
      </c>
      <c r="E248" s="3">
        <v>46068.788136574076</v>
      </c>
      <c r="F248" s="2" t="s">
        <v>812</v>
      </c>
      <c r="G248" s="2" t="s">
        <v>813</v>
      </c>
      <c r="H248" s="2" t="s">
        <v>17</v>
      </c>
      <c r="I248" s="2" t="s">
        <v>786</v>
      </c>
      <c r="J248" s="2" t="s">
        <v>16</v>
      </c>
    </row>
    <row r="249" spans="1:10">
      <c r="A249" s="2" t="s">
        <v>816</v>
      </c>
      <c r="B249" s="2" t="s">
        <v>781</v>
      </c>
      <c r="C249" s="2" t="s">
        <v>782</v>
      </c>
      <c r="D249" s="2" t="s">
        <v>817</v>
      </c>
      <c r="E249" s="3">
        <v>46068.804664351854</v>
      </c>
      <c r="F249" s="2" t="s">
        <v>812</v>
      </c>
      <c r="G249" s="2" t="s">
        <v>813</v>
      </c>
      <c r="H249" s="2" t="s">
        <v>17</v>
      </c>
      <c r="I249" s="2" t="s">
        <v>786</v>
      </c>
      <c r="J249" s="2" t="s">
        <v>16</v>
      </c>
    </row>
    <row r="250" spans="1:10">
      <c r="A250" s="2" t="s">
        <v>816</v>
      </c>
      <c r="B250" s="2" t="s">
        <v>781</v>
      </c>
      <c r="C250" s="2" t="s">
        <v>782</v>
      </c>
      <c r="D250" s="2" t="s">
        <v>817</v>
      </c>
      <c r="E250" s="3">
        <v>46069.601875</v>
      </c>
      <c r="F250" s="2" t="s">
        <v>812</v>
      </c>
      <c r="G250" s="2" t="s">
        <v>813</v>
      </c>
      <c r="H250" s="2" t="s">
        <v>17</v>
      </c>
      <c r="I250" s="2" t="s">
        <v>786</v>
      </c>
      <c r="J250" s="2" t="s">
        <v>16</v>
      </c>
    </row>
    <row r="251" spans="1:10">
      <c r="A251" s="2" t="s">
        <v>816</v>
      </c>
      <c r="B251" s="2" t="s">
        <v>781</v>
      </c>
      <c r="C251" s="2" t="s">
        <v>782</v>
      </c>
      <c r="D251" s="2" t="s">
        <v>817</v>
      </c>
      <c r="E251" s="3">
        <v>46070.490358796298</v>
      </c>
      <c r="F251" s="2" t="s">
        <v>812</v>
      </c>
      <c r="G251" s="2" t="s">
        <v>813</v>
      </c>
      <c r="H251" s="2" t="s">
        <v>17</v>
      </c>
      <c r="I251" s="2" t="s">
        <v>786</v>
      </c>
      <c r="J251" s="2" t="s">
        <v>16</v>
      </c>
    </row>
    <row r="252" spans="1:10">
      <c r="A252" s="2" t="s">
        <v>816</v>
      </c>
      <c r="B252" s="2" t="s">
        <v>781</v>
      </c>
      <c r="C252" s="2" t="s">
        <v>782</v>
      </c>
      <c r="D252" s="2" t="s">
        <v>817</v>
      </c>
      <c r="E252" s="3">
        <v>46070.577615740738</v>
      </c>
      <c r="F252" s="2" t="s">
        <v>812</v>
      </c>
      <c r="G252" s="2" t="s">
        <v>813</v>
      </c>
      <c r="H252" s="2" t="s">
        <v>17</v>
      </c>
      <c r="I252" s="2" t="s">
        <v>786</v>
      </c>
      <c r="J252" s="2" t="s">
        <v>16</v>
      </c>
    </row>
    <row r="253" spans="1:10">
      <c r="A253" s="2" t="s">
        <v>816</v>
      </c>
      <c r="B253" s="2" t="s">
        <v>781</v>
      </c>
      <c r="C253" s="2" t="s">
        <v>782</v>
      </c>
      <c r="D253" s="2" t="s">
        <v>817</v>
      </c>
      <c r="E253" s="3">
        <v>46070.600451388891</v>
      </c>
      <c r="F253" s="2" t="s">
        <v>812</v>
      </c>
      <c r="G253" s="2" t="s">
        <v>813</v>
      </c>
      <c r="H253" s="2" t="s">
        <v>17</v>
      </c>
      <c r="I253" s="2" t="s">
        <v>786</v>
      </c>
      <c r="J253" s="2" t="s">
        <v>16</v>
      </c>
    </row>
    <row r="254" spans="1:10">
      <c r="A254" s="2" t="s">
        <v>816</v>
      </c>
      <c r="B254" s="2" t="s">
        <v>781</v>
      </c>
      <c r="C254" s="2" t="s">
        <v>782</v>
      </c>
      <c r="D254" s="2" t="s">
        <v>817</v>
      </c>
      <c r="E254" s="3">
        <v>46070.624513888892</v>
      </c>
      <c r="F254" s="2" t="s">
        <v>812</v>
      </c>
      <c r="G254" s="2" t="s">
        <v>813</v>
      </c>
      <c r="H254" s="2" t="s">
        <v>17</v>
      </c>
      <c r="I254" s="2" t="s">
        <v>786</v>
      </c>
      <c r="J254" s="2" t="s">
        <v>16</v>
      </c>
    </row>
    <row r="255" spans="1:10">
      <c r="A255" s="2" t="s">
        <v>816</v>
      </c>
      <c r="B255" s="2" t="s">
        <v>781</v>
      </c>
      <c r="C255" s="2" t="s">
        <v>782</v>
      </c>
      <c r="D255" s="2" t="s">
        <v>817</v>
      </c>
      <c r="E255" s="3">
        <v>46070.653773148151</v>
      </c>
      <c r="F255" s="2" t="s">
        <v>812</v>
      </c>
      <c r="G255" s="2" t="s">
        <v>813</v>
      </c>
      <c r="H255" s="2" t="s">
        <v>17</v>
      </c>
      <c r="I255" s="2" t="s">
        <v>786</v>
      </c>
      <c r="J255" s="2" t="s">
        <v>16</v>
      </c>
    </row>
    <row r="256" spans="1:10">
      <c r="A256" s="2" t="s">
        <v>816</v>
      </c>
      <c r="B256" s="2" t="s">
        <v>781</v>
      </c>
      <c r="C256" s="2" t="s">
        <v>782</v>
      </c>
      <c r="D256" s="2" t="s">
        <v>817</v>
      </c>
      <c r="E256" s="3">
        <v>46070.682233796295</v>
      </c>
      <c r="F256" s="2" t="s">
        <v>812</v>
      </c>
      <c r="G256" s="2" t="s">
        <v>813</v>
      </c>
      <c r="H256" s="2" t="s">
        <v>17</v>
      </c>
      <c r="I256" s="2" t="s">
        <v>786</v>
      </c>
      <c r="J256" s="2" t="s">
        <v>16</v>
      </c>
    </row>
    <row r="257" spans="1:10">
      <c r="A257" s="2" t="s">
        <v>816</v>
      </c>
      <c r="B257" s="2" t="s">
        <v>781</v>
      </c>
      <c r="C257" s="2" t="s">
        <v>782</v>
      </c>
      <c r="D257" s="2" t="s">
        <v>817</v>
      </c>
      <c r="E257" s="3">
        <v>46070.717800925922</v>
      </c>
      <c r="F257" s="2" t="s">
        <v>812</v>
      </c>
      <c r="G257" s="2" t="s">
        <v>813</v>
      </c>
      <c r="H257" s="2" t="s">
        <v>17</v>
      </c>
      <c r="I257" s="2" t="s">
        <v>786</v>
      </c>
      <c r="J257" s="2" t="s">
        <v>16</v>
      </c>
    </row>
    <row r="258" spans="1:10">
      <c r="A258" s="2" t="s">
        <v>816</v>
      </c>
      <c r="B258" s="2" t="s">
        <v>781</v>
      </c>
      <c r="C258" s="2" t="s">
        <v>782</v>
      </c>
      <c r="D258" s="2" t="s">
        <v>817</v>
      </c>
      <c r="E258" s="3">
        <v>46070.731412037036</v>
      </c>
      <c r="F258" s="2" t="s">
        <v>812</v>
      </c>
      <c r="G258" s="2" t="s">
        <v>813</v>
      </c>
      <c r="H258" s="2" t="s">
        <v>17</v>
      </c>
      <c r="I258" s="2" t="s">
        <v>786</v>
      </c>
      <c r="J258" s="2" t="s">
        <v>16</v>
      </c>
    </row>
    <row r="259" spans="1:10">
      <c r="A259" s="2" t="s">
        <v>816</v>
      </c>
      <c r="B259" s="2" t="s">
        <v>781</v>
      </c>
      <c r="C259" s="2" t="s">
        <v>782</v>
      </c>
      <c r="D259" s="2" t="s">
        <v>817</v>
      </c>
      <c r="E259" s="3">
        <v>46070.736712962964</v>
      </c>
      <c r="F259" s="2" t="s">
        <v>812</v>
      </c>
      <c r="G259" s="2" t="s">
        <v>813</v>
      </c>
      <c r="H259" s="2" t="s">
        <v>17</v>
      </c>
      <c r="I259" s="2" t="s">
        <v>786</v>
      </c>
      <c r="J259" s="2" t="s">
        <v>16</v>
      </c>
    </row>
    <row r="260" spans="1:10">
      <c r="A260" s="2" t="s">
        <v>816</v>
      </c>
      <c r="B260" s="2" t="s">
        <v>781</v>
      </c>
      <c r="C260" s="2" t="s">
        <v>782</v>
      </c>
      <c r="D260" s="2" t="s">
        <v>817</v>
      </c>
      <c r="E260" s="3">
        <v>46070.76054398148</v>
      </c>
      <c r="F260" s="2" t="s">
        <v>812</v>
      </c>
      <c r="G260" s="2" t="s">
        <v>813</v>
      </c>
      <c r="H260" s="2" t="s">
        <v>17</v>
      </c>
      <c r="I260" s="2" t="s">
        <v>786</v>
      </c>
      <c r="J260" s="2" t="s">
        <v>16</v>
      </c>
    </row>
    <row r="261" spans="1:10">
      <c r="A261" s="2" t="s">
        <v>816</v>
      </c>
      <c r="B261" s="2" t="s">
        <v>781</v>
      </c>
      <c r="C261" s="2" t="s">
        <v>782</v>
      </c>
      <c r="D261" s="2" t="s">
        <v>817</v>
      </c>
      <c r="E261" s="3">
        <v>46071.582303240742</v>
      </c>
      <c r="F261" s="2" t="s">
        <v>812</v>
      </c>
      <c r="G261" s="2" t="s">
        <v>813</v>
      </c>
      <c r="H261" s="2" t="s">
        <v>17</v>
      </c>
      <c r="I261" s="2" t="s">
        <v>786</v>
      </c>
      <c r="J261" s="2" t="s">
        <v>16</v>
      </c>
    </row>
    <row r="262" spans="1:10">
      <c r="A262" s="2" t="s">
        <v>816</v>
      </c>
      <c r="B262" s="2" t="s">
        <v>781</v>
      </c>
      <c r="C262" s="2" t="s">
        <v>782</v>
      </c>
      <c r="D262" s="2" t="s">
        <v>817</v>
      </c>
      <c r="E262" s="3">
        <v>46071.617997685185</v>
      </c>
      <c r="F262" s="2" t="s">
        <v>812</v>
      </c>
      <c r="G262" s="2" t="s">
        <v>813</v>
      </c>
      <c r="H262" s="2" t="s">
        <v>17</v>
      </c>
      <c r="I262" s="2" t="s">
        <v>786</v>
      </c>
      <c r="J262" s="2" t="s">
        <v>16</v>
      </c>
    </row>
    <row r="263" spans="1:10">
      <c r="A263" s="2" t="s">
        <v>816</v>
      </c>
      <c r="B263" s="2" t="s">
        <v>781</v>
      </c>
      <c r="C263" s="2" t="s">
        <v>782</v>
      </c>
      <c r="D263" s="2" t="s">
        <v>817</v>
      </c>
      <c r="E263" s="3">
        <v>46071.650613425925</v>
      </c>
      <c r="F263" s="2" t="s">
        <v>812</v>
      </c>
      <c r="G263" s="2" t="s">
        <v>813</v>
      </c>
      <c r="H263" s="2" t="s">
        <v>17</v>
      </c>
      <c r="I263" s="2" t="s">
        <v>786</v>
      </c>
      <c r="J263" s="2" t="s">
        <v>16</v>
      </c>
    </row>
    <row r="264" spans="1:10">
      <c r="A264" s="2" t="s">
        <v>816</v>
      </c>
      <c r="B264" s="2" t="s">
        <v>781</v>
      </c>
      <c r="C264" s="2" t="s">
        <v>782</v>
      </c>
      <c r="D264" s="2" t="s">
        <v>817</v>
      </c>
      <c r="E264" s="3">
        <v>46071.697060185186</v>
      </c>
      <c r="F264" s="2" t="s">
        <v>812</v>
      </c>
      <c r="G264" s="2" t="s">
        <v>813</v>
      </c>
      <c r="H264" s="2" t="s">
        <v>17</v>
      </c>
      <c r="I264" s="2" t="s">
        <v>786</v>
      </c>
      <c r="J264" s="2" t="s">
        <v>16</v>
      </c>
    </row>
    <row r="265" spans="1:10">
      <c r="A265" s="2" t="s">
        <v>816</v>
      </c>
      <c r="B265" s="2" t="s">
        <v>781</v>
      </c>
      <c r="C265" s="2" t="s">
        <v>782</v>
      </c>
      <c r="D265" s="2" t="s">
        <v>817</v>
      </c>
      <c r="E265" s="3">
        <v>46071.727650462963</v>
      </c>
      <c r="F265" s="2" t="s">
        <v>812</v>
      </c>
      <c r="G265" s="2" t="s">
        <v>813</v>
      </c>
      <c r="H265" s="2" t="s">
        <v>17</v>
      </c>
      <c r="I265" s="2" t="s">
        <v>786</v>
      </c>
      <c r="J265" s="2" t="s">
        <v>16</v>
      </c>
    </row>
    <row r="266" spans="1:10">
      <c r="A266" s="2" t="s">
        <v>816</v>
      </c>
      <c r="B266" s="2" t="s">
        <v>781</v>
      </c>
      <c r="C266" s="2" t="s">
        <v>782</v>
      </c>
      <c r="D266" s="2" t="s">
        <v>817</v>
      </c>
      <c r="E266" s="3">
        <v>46071.751643518517</v>
      </c>
      <c r="F266" s="2" t="s">
        <v>812</v>
      </c>
      <c r="G266" s="2" t="s">
        <v>813</v>
      </c>
      <c r="H266" s="2" t="s">
        <v>17</v>
      </c>
      <c r="I266" s="2" t="s">
        <v>786</v>
      </c>
      <c r="J266" s="2" t="s">
        <v>16</v>
      </c>
    </row>
    <row r="267" spans="1:10">
      <c r="A267" s="2" t="s">
        <v>816</v>
      </c>
      <c r="B267" s="2" t="s">
        <v>781</v>
      </c>
      <c r="C267" s="2" t="s">
        <v>782</v>
      </c>
      <c r="D267" s="2" t="s">
        <v>817</v>
      </c>
      <c r="E267" s="3">
        <v>46071.764537037037</v>
      </c>
      <c r="F267" s="2" t="s">
        <v>812</v>
      </c>
      <c r="G267" s="2" t="s">
        <v>813</v>
      </c>
      <c r="H267" s="2" t="s">
        <v>17</v>
      </c>
      <c r="I267" s="2" t="s">
        <v>786</v>
      </c>
      <c r="J267" s="2" t="s">
        <v>16</v>
      </c>
    </row>
    <row r="268" spans="1:10">
      <c r="A268" s="2" t="s">
        <v>816</v>
      </c>
      <c r="B268" s="2" t="s">
        <v>781</v>
      </c>
      <c r="C268" s="2" t="s">
        <v>782</v>
      </c>
      <c r="D268" s="2" t="s">
        <v>817</v>
      </c>
      <c r="E268" s="3">
        <v>46071.792048611111</v>
      </c>
      <c r="F268" s="2" t="s">
        <v>812</v>
      </c>
      <c r="G268" s="2" t="s">
        <v>813</v>
      </c>
      <c r="H268" s="2" t="s">
        <v>17</v>
      </c>
      <c r="I268" s="2" t="s">
        <v>786</v>
      </c>
      <c r="J268" s="2" t="s">
        <v>16</v>
      </c>
    </row>
    <row r="269" spans="1:10">
      <c r="A269" s="2" t="s">
        <v>816</v>
      </c>
      <c r="B269" s="2" t="s">
        <v>781</v>
      </c>
      <c r="C269" s="2" t="s">
        <v>782</v>
      </c>
      <c r="D269" s="2" t="s">
        <v>817</v>
      </c>
      <c r="E269" s="3">
        <v>46072.802349537036</v>
      </c>
      <c r="F269" s="2" t="s">
        <v>812</v>
      </c>
      <c r="G269" s="2" t="s">
        <v>813</v>
      </c>
      <c r="H269" s="2" t="s">
        <v>17</v>
      </c>
      <c r="I269" s="2" t="s">
        <v>786</v>
      </c>
      <c r="J269" s="2" t="s">
        <v>16</v>
      </c>
    </row>
    <row r="270" spans="1:10">
      <c r="A270" s="2" t="s">
        <v>816</v>
      </c>
      <c r="B270" s="2" t="s">
        <v>781</v>
      </c>
      <c r="C270" s="2" t="s">
        <v>782</v>
      </c>
      <c r="D270" s="2" t="s">
        <v>817</v>
      </c>
      <c r="E270" s="3">
        <v>46072.809166666666</v>
      </c>
      <c r="F270" s="2" t="s">
        <v>812</v>
      </c>
      <c r="G270" s="2" t="s">
        <v>813</v>
      </c>
      <c r="H270" s="2" t="s">
        <v>17</v>
      </c>
      <c r="I270" s="2" t="s">
        <v>786</v>
      </c>
      <c r="J270" s="2" t="s">
        <v>16</v>
      </c>
    </row>
    <row r="271" spans="1:10">
      <c r="A271" s="2" t="s">
        <v>816</v>
      </c>
      <c r="B271" s="2" t="s">
        <v>781</v>
      </c>
      <c r="C271" s="2" t="s">
        <v>782</v>
      </c>
      <c r="D271" s="2" t="s">
        <v>817</v>
      </c>
      <c r="E271" s="3">
        <v>46072.961516203701</v>
      </c>
      <c r="F271" s="2" t="s">
        <v>812</v>
      </c>
      <c r="G271" s="2" t="s">
        <v>813</v>
      </c>
      <c r="H271" s="2" t="s">
        <v>17</v>
      </c>
      <c r="I271" s="2" t="s">
        <v>786</v>
      </c>
      <c r="J271" s="2" t="s">
        <v>16</v>
      </c>
    </row>
    <row r="272" spans="1:10">
      <c r="A272" s="2" t="s">
        <v>816</v>
      </c>
      <c r="B272" s="2" t="s">
        <v>781</v>
      </c>
      <c r="C272" s="2" t="s">
        <v>782</v>
      </c>
      <c r="D272" s="2" t="s">
        <v>817</v>
      </c>
      <c r="E272" s="3">
        <v>46072.981851851851</v>
      </c>
      <c r="F272" s="2" t="s">
        <v>812</v>
      </c>
      <c r="G272" s="2" t="s">
        <v>813</v>
      </c>
      <c r="H272" s="2" t="s">
        <v>17</v>
      </c>
      <c r="I272" s="2" t="s">
        <v>786</v>
      </c>
      <c r="J272" s="2" t="s">
        <v>16</v>
      </c>
    </row>
    <row r="273" spans="1:10">
      <c r="A273" s="2" t="s">
        <v>816</v>
      </c>
      <c r="B273" s="2" t="s">
        <v>781</v>
      </c>
      <c r="C273" s="2" t="s">
        <v>782</v>
      </c>
      <c r="D273" s="2" t="s">
        <v>817</v>
      </c>
      <c r="E273" s="3">
        <v>46073.016192129631</v>
      </c>
      <c r="F273" s="2" t="s">
        <v>812</v>
      </c>
      <c r="G273" s="2" t="s">
        <v>813</v>
      </c>
      <c r="H273" s="2" t="s">
        <v>17</v>
      </c>
      <c r="I273" s="2" t="s">
        <v>786</v>
      </c>
      <c r="J273" s="2" t="s">
        <v>16</v>
      </c>
    </row>
    <row r="274" spans="1:10">
      <c r="A274" s="2" t="s">
        <v>816</v>
      </c>
      <c r="B274" s="2" t="s">
        <v>781</v>
      </c>
      <c r="C274" s="2" t="s">
        <v>782</v>
      </c>
      <c r="D274" s="2" t="s">
        <v>817</v>
      </c>
      <c r="E274" s="3">
        <v>46073.057303240741</v>
      </c>
      <c r="F274" s="2" t="s">
        <v>812</v>
      </c>
      <c r="G274" s="2" t="s">
        <v>813</v>
      </c>
      <c r="H274" s="2" t="s">
        <v>17</v>
      </c>
      <c r="I274" s="2" t="s">
        <v>786</v>
      </c>
      <c r="J274" s="2" t="s">
        <v>16</v>
      </c>
    </row>
    <row r="275" spans="1:10">
      <c r="A275" s="2" t="s">
        <v>816</v>
      </c>
      <c r="B275" s="2" t="s">
        <v>781</v>
      </c>
      <c r="C275" s="2" t="s">
        <v>782</v>
      </c>
      <c r="D275" s="2" t="s">
        <v>817</v>
      </c>
      <c r="E275" s="3">
        <v>46073.075868055559</v>
      </c>
      <c r="F275" s="2" t="s">
        <v>812</v>
      </c>
      <c r="G275" s="2" t="s">
        <v>813</v>
      </c>
      <c r="H275" s="2" t="s">
        <v>17</v>
      </c>
      <c r="I275" s="2" t="s">
        <v>786</v>
      </c>
      <c r="J275" s="2" t="s">
        <v>16</v>
      </c>
    </row>
    <row r="276" spans="1:10">
      <c r="A276" s="2" t="s">
        <v>816</v>
      </c>
      <c r="B276" s="2" t="s">
        <v>781</v>
      </c>
      <c r="C276" s="2" t="s">
        <v>782</v>
      </c>
      <c r="D276" s="2" t="s">
        <v>817</v>
      </c>
      <c r="E276" s="3">
        <v>46073.088831018518</v>
      </c>
      <c r="F276" s="2" t="s">
        <v>812</v>
      </c>
      <c r="G276" s="2" t="s">
        <v>813</v>
      </c>
      <c r="H276" s="2" t="s">
        <v>17</v>
      </c>
      <c r="I276" s="2" t="s">
        <v>786</v>
      </c>
      <c r="J276" s="2" t="s">
        <v>16</v>
      </c>
    </row>
    <row r="277" spans="1:10">
      <c r="A277" s="2" t="s">
        <v>816</v>
      </c>
      <c r="B277" s="2" t="s">
        <v>781</v>
      </c>
      <c r="C277" s="2" t="s">
        <v>782</v>
      </c>
      <c r="D277" s="2" t="s">
        <v>817</v>
      </c>
      <c r="E277" s="3">
        <v>46073.11613425926</v>
      </c>
      <c r="F277" s="2" t="s">
        <v>812</v>
      </c>
      <c r="G277" s="2" t="s">
        <v>813</v>
      </c>
      <c r="H277" s="2" t="s">
        <v>17</v>
      </c>
      <c r="I277" s="2" t="s">
        <v>786</v>
      </c>
      <c r="J277" s="2" t="s">
        <v>16</v>
      </c>
    </row>
    <row r="278" spans="1:10">
      <c r="A278" s="2" t="s">
        <v>816</v>
      </c>
      <c r="B278" s="2" t="s">
        <v>781</v>
      </c>
      <c r="C278" s="2" t="s">
        <v>782</v>
      </c>
      <c r="D278" s="2" t="s">
        <v>817</v>
      </c>
      <c r="E278" s="3">
        <v>46073.170810185184</v>
      </c>
      <c r="F278" s="2" t="s">
        <v>812</v>
      </c>
      <c r="G278" s="2" t="s">
        <v>813</v>
      </c>
      <c r="H278" s="2" t="s">
        <v>17</v>
      </c>
      <c r="I278" s="2" t="s">
        <v>786</v>
      </c>
      <c r="J278" s="2" t="s">
        <v>16</v>
      </c>
    </row>
    <row r="279" spans="1:10">
      <c r="A279" s="2" t="s">
        <v>816</v>
      </c>
      <c r="B279" s="2" t="s">
        <v>781</v>
      </c>
      <c r="C279" s="2" t="s">
        <v>782</v>
      </c>
      <c r="D279" s="2" t="s">
        <v>817</v>
      </c>
      <c r="E279" s="3">
        <v>46073.200856481482</v>
      </c>
      <c r="F279" s="2" t="s">
        <v>812</v>
      </c>
      <c r="G279" s="2" t="s">
        <v>813</v>
      </c>
      <c r="H279" s="2" t="s">
        <v>17</v>
      </c>
      <c r="I279" s="2" t="s">
        <v>786</v>
      </c>
      <c r="J279" s="2" t="s">
        <v>16</v>
      </c>
    </row>
    <row r="280" spans="1:10">
      <c r="A280" s="2" t="s">
        <v>818</v>
      </c>
      <c r="B280" s="2" t="s">
        <v>781</v>
      </c>
      <c r="C280" s="2" t="s">
        <v>782</v>
      </c>
      <c r="D280" s="2" t="s">
        <v>819</v>
      </c>
      <c r="E280" s="3">
        <v>46068.087008101953</v>
      </c>
      <c r="F280" s="2" t="s">
        <v>812</v>
      </c>
      <c r="G280" s="2" t="s">
        <v>813</v>
      </c>
      <c r="H280" s="2" t="s">
        <v>17</v>
      </c>
      <c r="I280" s="2" t="s">
        <v>786</v>
      </c>
      <c r="J280" s="2" t="s">
        <v>16</v>
      </c>
    </row>
    <row r="281" spans="1:10">
      <c r="A281" s="2" t="s">
        <v>818</v>
      </c>
      <c r="B281" s="2" t="s">
        <v>781</v>
      </c>
      <c r="C281" s="2" t="s">
        <v>782</v>
      </c>
      <c r="D281" s="2" t="s">
        <v>819</v>
      </c>
      <c r="E281" s="3">
        <v>46068.16777199084</v>
      </c>
      <c r="F281" s="2" t="s">
        <v>812</v>
      </c>
      <c r="G281" s="2" t="s">
        <v>813</v>
      </c>
      <c r="H281" s="2" t="s">
        <v>17</v>
      </c>
      <c r="I281" s="2" t="s">
        <v>786</v>
      </c>
      <c r="J281" s="2" t="s">
        <v>16</v>
      </c>
    </row>
    <row r="282" spans="1:10">
      <c r="A282" s="2" t="s">
        <v>818</v>
      </c>
      <c r="B282" s="2" t="s">
        <v>781</v>
      </c>
      <c r="C282" s="2" t="s">
        <v>782</v>
      </c>
      <c r="D282" s="2" t="s">
        <v>819</v>
      </c>
      <c r="E282" s="3">
        <v>46068.210491898251</v>
      </c>
      <c r="F282" s="2" t="s">
        <v>812</v>
      </c>
      <c r="G282" s="2" t="s">
        <v>813</v>
      </c>
      <c r="H282" s="2" t="s">
        <v>17</v>
      </c>
      <c r="I282" s="2" t="s">
        <v>786</v>
      </c>
      <c r="J282" s="2" t="s">
        <v>16</v>
      </c>
    </row>
    <row r="283" spans="1:10">
      <c r="A283" s="2" t="s">
        <v>818</v>
      </c>
      <c r="B283" s="2" t="s">
        <v>781</v>
      </c>
      <c r="C283" s="2" t="s">
        <v>782</v>
      </c>
      <c r="D283" s="2" t="s">
        <v>819</v>
      </c>
      <c r="E283" s="3">
        <v>46068.227170138991</v>
      </c>
      <c r="F283" s="2" t="s">
        <v>812</v>
      </c>
      <c r="G283" s="2" t="s">
        <v>813</v>
      </c>
      <c r="H283" s="2" t="s">
        <v>17</v>
      </c>
      <c r="I283" s="2" t="s">
        <v>786</v>
      </c>
      <c r="J283" s="2" t="s">
        <v>16</v>
      </c>
    </row>
    <row r="284" spans="1:10">
      <c r="A284" s="2" t="s">
        <v>818</v>
      </c>
      <c r="B284" s="2" t="s">
        <v>781</v>
      </c>
      <c r="C284" s="2" t="s">
        <v>782</v>
      </c>
      <c r="D284" s="2" t="s">
        <v>819</v>
      </c>
      <c r="E284" s="3">
        <v>46068.251221064915</v>
      </c>
      <c r="F284" s="2" t="s">
        <v>812</v>
      </c>
      <c r="G284" s="2" t="s">
        <v>813</v>
      </c>
      <c r="H284" s="2" t="s">
        <v>17</v>
      </c>
      <c r="I284" s="2" t="s">
        <v>786</v>
      </c>
      <c r="J284" s="2" t="s">
        <v>16</v>
      </c>
    </row>
    <row r="285" spans="1:10">
      <c r="A285" s="2" t="s">
        <v>818</v>
      </c>
      <c r="B285" s="2" t="s">
        <v>781</v>
      </c>
      <c r="C285" s="2" t="s">
        <v>782</v>
      </c>
      <c r="D285" s="2" t="s">
        <v>819</v>
      </c>
      <c r="E285" s="3">
        <v>46068.279751157512</v>
      </c>
      <c r="F285" s="2" t="s">
        <v>812</v>
      </c>
      <c r="G285" s="2" t="s">
        <v>813</v>
      </c>
      <c r="H285" s="2" t="s">
        <v>17</v>
      </c>
      <c r="I285" s="2" t="s">
        <v>786</v>
      </c>
      <c r="J285" s="2" t="s">
        <v>16</v>
      </c>
    </row>
    <row r="286" spans="1:10">
      <c r="A286" s="2" t="s">
        <v>818</v>
      </c>
      <c r="B286" s="2" t="s">
        <v>781</v>
      </c>
      <c r="C286" s="2" t="s">
        <v>782</v>
      </c>
      <c r="D286" s="2" t="s">
        <v>819</v>
      </c>
      <c r="E286" s="3">
        <v>46068.317980324173</v>
      </c>
      <c r="F286" s="2" t="s">
        <v>812</v>
      </c>
      <c r="G286" s="2" t="s">
        <v>813</v>
      </c>
      <c r="H286" s="2" t="s">
        <v>17</v>
      </c>
      <c r="I286" s="2" t="s">
        <v>786</v>
      </c>
      <c r="J286" s="2" t="s">
        <v>16</v>
      </c>
    </row>
    <row r="287" spans="1:10">
      <c r="A287" s="2" t="s">
        <v>818</v>
      </c>
      <c r="B287" s="2" t="s">
        <v>781</v>
      </c>
      <c r="C287" s="2" t="s">
        <v>782</v>
      </c>
      <c r="D287" s="2" t="s">
        <v>819</v>
      </c>
      <c r="E287" s="3">
        <v>46068.332158564917</v>
      </c>
      <c r="F287" s="2" t="s">
        <v>812</v>
      </c>
      <c r="G287" s="2" t="s">
        <v>813</v>
      </c>
      <c r="H287" s="2" t="s">
        <v>17</v>
      </c>
      <c r="I287" s="2" t="s">
        <v>786</v>
      </c>
      <c r="J287" s="2" t="s">
        <v>16</v>
      </c>
    </row>
    <row r="288" spans="1:10">
      <c r="A288" s="2" t="s">
        <v>818</v>
      </c>
      <c r="B288" s="2" t="s">
        <v>781</v>
      </c>
      <c r="C288" s="2" t="s">
        <v>782</v>
      </c>
      <c r="D288" s="2" t="s">
        <v>819</v>
      </c>
      <c r="E288" s="3">
        <v>46068.366672453805</v>
      </c>
      <c r="F288" s="2" t="s">
        <v>812</v>
      </c>
      <c r="G288" s="2" t="s">
        <v>813</v>
      </c>
      <c r="H288" s="2" t="s">
        <v>17</v>
      </c>
      <c r="I288" s="2" t="s">
        <v>786</v>
      </c>
      <c r="J288" s="2" t="s">
        <v>16</v>
      </c>
    </row>
    <row r="289" spans="1:10">
      <c r="A289" s="2" t="s">
        <v>818</v>
      </c>
      <c r="B289" s="2" t="s">
        <v>781</v>
      </c>
      <c r="C289" s="2" t="s">
        <v>782</v>
      </c>
      <c r="D289" s="2" t="s">
        <v>819</v>
      </c>
      <c r="E289" s="3">
        <v>46068.40219328714</v>
      </c>
      <c r="F289" s="2" t="s">
        <v>812</v>
      </c>
      <c r="G289" s="2" t="s">
        <v>813</v>
      </c>
      <c r="H289" s="2" t="s">
        <v>17</v>
      </c>
      <c r="I289" s="2" t="s">
        <v>786</v>
      </c>
      <c r="J289" s="2" t="s">
        <v>16</v>
      </c>
    </row>
    <row r="290" spans="1:10">
      <c r="A290" s="2" t="s">
        <v>818</v>
      </c>
      <c r="B290" s="2" t="s">
        <v>781</v>
      </c>
      <c r="C290" s="2" t="s">
        <v>782</v>
      </c>
      <c r="D290" s="2" t="s">
        <v>819</v>
      </c>
      <c r="E290" s="3">
        <v>46069.189913194547</v>
      </c>
      <c r="F290" s="2" t="s">
        <v>812</v>
      </c>
      <c r="G290" s="2" t="s">
        <v>813</v>
      </c>
      <c r="H290" s="2" t="s">
        <v>17</v>
      </c>
      <c r="I290" s="2" t="s">
        <v>786</v>
      </c>
      <c r="J290" s="2" t="s">
        <v>16</v>
      </c>
    </row>
    <row r="291" spans="1:10">
      <c r="A291" s="2" t="s">
        <v>818</v>
      </c>
      <c r="B291" s="2" t="s">
        <v>781</v>
      </c>
      <c r="C291" s="2" t="s">
        <v>782</v>
      </c>
      <c r="D291" s="2" t="s">
        <v>819</v>
      </c>
      <c r="E291" s="3">
        <v>46069.223778935288</v>
      </c>
      <c r="F291" s="2" t="s">
        <v>812</v>
      </c>
      <c r="G291" s="2" t="s">
        <v>813</v>
      </c>
      <c r="H291" s="2" t="s">
        <v>17</v>
      </c>
      <c r="I291" s="2" t="s">
        <v>786</v>
      </c>
      <c r="J291" s="2" t="s">
        <v>16</v>
      </c>
    </row>
    <row r="292" spans="1:10">
      <c r="A292" s="2" t="s">
        <v>818</v>
      </c>
      <c r="B292" s="2" t="s">
        <v>781</v>
      </c>
      <c r="C292" s="2" t="s">
        <v>782</v>
      </c>
      <c r="D292" s="2" t="s">
        <v>819</v>
      </c>
      <c r="E292" s="3">
        <v>46069.25752893529</v>
      </c>
      <c r="F292" s="2" t="s">
        <v>812</v>
      </c>
      <c r="G292" s="2" t="s">
        <v>813</v>
      </c>
      <c r="H292" s="2" t="s">
        <v>17</v>
      </c>
      <c r="I292" s="2" t="s">
        <v>786</v>
      </c>
      <c r="J292" s="2" t="s">
        <v>16</v>
      </c>
    </row>
    <row r="293" spans="1:10">
      <c r="A293" s="2" t="s">
        <v>818</v>
      </c>
      <c r="B293" s="2" t="s">
        <v>781</v>
      </c>
      <c r="C293" s="2" t="s">
        <v>782</v>
      </c>
      <c r="D293" s="2" t="s">
        <v>819</v>
      </c>
      <c r="E293" s="3">
        <v>46069.286846064919</v>
      </c>
      <c r="F293" s="2" t="s">
        <v>812</v>
      </c>
      <c r="G293" s="2" t="s">
        <v>813</v>
      </c>
      <c r="H293" s="2" t="s">
        <v>17</v>
      </c>
      <c r="I293" s="2" t="s">
        <v>786</v>
      </c>
      <c r="J293" s="2" t="s">
        <v>16</v>
      </c>
    </row>
    <row r="294" spans="1:10">
      <c r="A294" s="2" t="s">
        <v>818</v>
      </c>
      <c r="B294" s="2" t="s">
        <v>781</v>
      </c>
      <c r="C294" s="2" t="s">
        <v>782</v>
      </c>
      <c r="D294" s="2" t="s">
        <v>819</v>
      </c>
      <c r="E294" s="3">
        <v>46069.317968750103</v>
      </c>
      <c r="F294" s="2" t="s">
        <v>812</v>
      </c>
      <c r="G294" s="2" t="s">
        <v>813</v>
      </c>
      <c r="H294" s="2" t="s">
        <v>17</v>
      </c>
      <c r="I294" s="2" t="s">
        <v>786</v>
      </c>
      <c r="J294" s="2" t="s">
        <v>16</v>
      </c>
    </row>
    <row r="295" spans="1:10">
      <c r="A295" s="2" t="s">
        <v>818</v>
      </c>
      <c r="B295" s="2" t="s">
        <v>781</v>
      </c>
      <c r="C295" s="2" t="s">
        <v>782</v>
      </c>
      <c r="D295" s="2" t="s">
        <v>819</v>
      </c>
      <c r="E295" s="3">
        <v>46069.344542824176</v>
      </c>
      <c r="F295" s="2" t="s">
        <v>812</v>
      </c>
      <c r="G295" s="2" t="s">
        <v>813</v>
      </c>
      <c r="H295" s="2" t="s">
        <v>17</v>
      </c>
      <c r="I295" s="2" t="s">
        <v>786</v>
      </c>
      <c r="J295" s="2" t="s">
        <v>16</v>
      </c>
    </row>
    <row r="296" spans="1:10">
      <c r="A296" s="2" t="s">
        <v>818</v>
      </c>
      <c r="B296" s="2" t="s">
        <v>781</v>
      </c>
      <c r="C296" s="2" t="s">
        <v>782</v>
      </c>
      <c r="D296" s="2" t="s">
        <v>819</v>
      </c>
      <c r="E296" s="3">
        <v>46069.377899305655</v>
      </c>
      <c r="F296" s="2" t="s">
        <v>812</v>
      </c>
      <c r="G296" s="2" t="s">
        <v>813</v>
      </c>
      <c r="H296" s="2" t="s">
        <v>17</v>
      </c>
      <c r="I296" s="2" t="s">
        <v>786</v>
      </c>
      <c r="J296" s="2" t="s">
        <v>16</v>
      </c>
    </row>
    <row r="297" spans="1:10">
      <c r="A297" s="2" t="s">
        <v>818</v>
      </c>
      <c r="B297" s="2" t="s">
        <v>781</v>
      </c>
      <c r="C297" s="2" t="s">
        <v>782</v>
      </c>
      <c r="D297" s="2" t="s">
        <v>819</v>
      </c>
      <c r="E297" s="3">
        <v>46069.401973379732</v>
      </c>
      <c r="F297" s="2" t="s">
        <v>812</v>
      </c>
      <c r="G297" s="2" t="s">
        <v>813</v>
      </c>
      <c r="H297" s="2" t="s">
        <v>17</v>
      </c>
      <c r="I297" s="2" t="s">
        <v>786</v>
      </c>
      <c r="J297" s="2" t="s">
        <v>16</v>
      </c>
    </row>
    <row r="298" spans="1:10">
      <c r="A298" s="2" t="s">
        <v>818</v>
      </c>
      <c r="B298" s="2" t="s">
        <v>781</v>
      </c>
      <c r="C298" s="2" t="s">
        <v>782</v>
      </c>
      <c r="D298" s="2" t="s">
        <v>819</v>
      </c>
      <c r="E298" s="3">
        <v>46069.408269676031</v>
      </c>
      <c r="F298" s="2" t="s">
        <v>812</v>
      </c>
      <c r="G298" s="2" t="s">
        <v>813</v>
      </c>
      <c r="H298" s="2" t="s">
        <v>17</v>
      </c>
      <c r="I298" s="2" t="s">
        <v>786</v>
      </c>
      <c r="J298" s="2" t="s">
        <v>16</v>
      </c>
    </row>
    <row r="299" spans="1:10">
      <c r="A299" s="2" t="s">
        <v>818</v>
      </c>
      <c r="B299" s="2" t="s">
        <v>781</v>
      </c>
      <c r="C299" s="2" t="s">
        <v>782</v>
      </c>
      <c r="D299" s="2" t="s">
        <v>819</v>
      </c>
      <c r="E299" s="3">
        <v>46069.432471064916</v>
      </c>
      <c r="F299" s="2" t="s">
        <v>812</v>
      </c>
      <c r="G299" s="2" t="s">
        <v>813</v>
      </c>
      <c r="H299" s="2" t="s">
        <v>17</v>
      </c>
      <c r="I299" s="2" t="s">
        <v>786</v>
      </c>
      <c r="J299" s="2" t="s">
        <v>16</v>
      </c>
    </row>
    <row r="300" spans="1:10">
      <c r="A300" s="2" t="s">
        <v>818</v>
      </c>
      <c r="B300" s="2" t="s">
        <v>781</v>
      </c>
      <c r="C300" s="2" t="s">
        <v>782</v>
      </c>
      <c r="D300" s="2" t="s">
        <v>819</v>
      </c>
      <c r="E300" s="3">
        <v>46070.364091435287</v>
      </c>
      <c r="F300" s="2" t="s">
        <v>812</v>
      </c>
      <c r="G300" s="2" t="s">
        <v>813</v>
      </c>
      <c r="H300" s="2" t="s">
        <v>17</v>
      </c>
      <c r="I300" s="2" t="s">
        <v>786</v>
      </c>
      <c r="J300" s="2" t="s">
        <v>16</v>
      </c>
    </row>
    <row r="301" spans="1:10">
      <c r="A301" s="2" t="s">
        <v>818</v>
      </c>
      <c r="B301" s="2" t="s">
        <v>781</v>
      </c>
      <c r="C301" s="2" t="s">
        <v>782</v>
      </c>
      <c r="D301" s="2" t="s">
        <v>819</v>
      </c>
      <c r="E301" s="3">
        <v>46070.411822916765</v>
      </c>
      <c r="F301" s="2" t="s">
        <v>812</v>
      </c>
      <c r="G301" s="2" t="s">
        <v>813</v>
      </c>
      <c r="H301" s="2" t="s">
        <v>17</v>
      </c>
      <c r="I301" s="2" t="s">
        <v>786</v>
      </c>
      <c r="J301" s="2" t="s">
        <v>16</v>
      </c>
    </row>
    <row r="302" spans="1:10">
      <c r="A302" s="2" t="s">
        <v>818</v>
      </c>
      <c r="B302" s="2" t="s">
        <v>781</v>
      </c>
      <c r="C302" s="2" t="s">
        <v>782</v>
      </c>
      <c r="D302" s="2" t="s">
        <v>819</v>
      </c>
      <c r="E302" s="3">
        <v>46073.192112268618</v>
      </c>
      <c r="F302" s="2" t="s">
        <v>812</v>
      </c>
      <c r="G302" s="2" t="s">
        <v>813</v>
      </c>
      <c r="H302" s="2" t="s">
        <v>17</v>
      </c>
      <c r="I302" s="2" t="s">
        <v>786</v>
      </c>
      <c r="J302" s="2" t="s">
        <v>16</v>
      </c>
    </row>
    <row r="303" spans="1:10">
      <c r="A303" s="2" t="s">
        <v>818</v>
      </c>
      <c r="B303" s="2" t="s">
        <v>781</v>
      </c>
      <c r="C303" s="2" t="s">
        <v>782</v>
      </c>
      <c r="D303" s="2" t="s">
        <v>819</v>
      </c>
      <c r="E303" s="3">
        <v>46073.234832176029</v>
      </c>
      <c r="F303" s="2" t="s">
        <v>812</v>
      </c>
      <c r="G303" s="2" t="s">
        <v>813</v>
      </c>
      <c r="H303" s="2" t="s">
        <v>17</v>
      </c>
      <c r="I303" s="2" t="s">
        <v>786</v>
      </c>
      <c r="J303" s="2" t="s">
        <v>16</v>
      </c>
    </row>
    <row r="304" spans="1:10">
      <c r="A304" s="2" t="s">
        <v>818</v>
      </c>
      <c r="B304" s="2" t="s">
        <v>781</v>
      </c>
      <c r="C304" s="2" t="s">
        <v>782</v>
      </c>
      <c r="D304" s="2" t="s">
        <v>819</v>
      </c>
      <c r="E304" s="3">
        <v>46073.272760416767</v>
      </c>
      <c r="F304" s="2" t="s">
        <v>812</v>
      </c>
      <c r="G304" s="2" t="s">
        <v>813</v>
      </c>
      <c r="H304" s="2" t="s">
        <v>17</v>
      </c>
      <c r="I304" s="2" t="s">
        <v>786</v>
      </c>
      <c r="J304" s="2" t="s">
        <v>16</v>
      </c>
    </row>
    <row r="305" spans="1:10">
      <c r="A305" s="2" t="s">
        <v>818</v>
      </c>
      <c r="B305" s="2" t="s">
        <v>781</v>
      </c>
      <c r="C305" s="2" t="s">
        <v>782</v>
      </c>
      <c r="D305" s="2" t="s">
        <v>819</v>
      </c>
      <c r="E305" s="3">
        <v>46073.281417824175</v>
      </c>
      <c r="F305" s="2" t="s">
        <v>812</v>
      </c>
      <c r="G305" s="2" t="s">
        <v>813</v>
      </c>
      <c r="H305" s="2" t="s">
        <v>17</v>
      </c>
      <c r="I305" s="2" t="s">
        <v>786</v>
      </c>
      <c r="J305" s="2" t="s">
        <v>16</v>
      </c>
    </row>
    <row r="306" spans="1:10">
      <c r="A306" s="2" t="s">
        <v>818</v>
      </c>
      <c r="B306" s="2" t="s">
        <v>781</v>
      </c>
      <c r="C306" s="2" t="s">
        <v>782</v>
      </c>
      <c r="D306" s="2" t="s">
        <v>819</v>
      </c>
      <c r="E306" s="3">
        <v>46073.296487268621</v>
      </c>
      <c r="F306" s="2" t="s">
        <v>812</v>
      </c>
      <c r="G306" s="2" t="s">
        <v>813</v>
      </c>
      <c r="H306" s="2" t="s">
        <v>17</v>
      </c>
      <c r="I306" s="2" t="s">
        <v>786</v>
      </c>
      <c r="J306" s="2" t="s">
        <v>16</v>
      </c>
    </row>
    <row r="307" spans="1:10">
      <c r="A307" s="2" t="s">
        <v>818</v>
      </c>
      <c r="B307" s="2" t="s">
        <v>781</v>
      </c>
      <c r="C307" s="2" t="s">
        <v>782</v>
      </c>
      <c r="D307" s="2" t="s">
        <v>819</v>
      </c>
      <c r="E307" s="3">
        <v>46073.307575231585</v>
      </c>
      <c r="F307" s="2" t="s">
        <v>812</v>
      </c>
      <c r="G307" s="2" t="s">
        <v>813</v>
      </c>
      <c r="H307" s="2" t="s">
        <v>17</v>
      </c>
      <c r="I307" s="2" t="s">
        <v>786</v>
      </c>
      <c r="J307" s="2" t="s">
        <v>16</v>
      </c>
    </row>
    <row r="308" spans="1:10">
      <c r="A308" s="2" t="s">
        <v>818</v>
      </c>
      <c r="B308" s="2" t="s">
        <v>781</v>
      </c>
      <c r="C308" s="2" t="s">
        <v>782</v>
      </c>
      <c r="D308" s="2" t="s">
        <v>819</v>
      </c>
      <c r="E308" s="3">
        <v>46073.384658564915</v>
      </c>
      <c r="F308" s="2" t="s">
        <v>812</v>
      </c>
      <c r="G308" s="2" t="s">
        <v>813</v>
      </c>
      <c r="H308" s="2" t="s">
        <v>17</v>
      </c>
      <c r="I308" s="2" t="s">
        <v>786</v>
      </c>
      <c r="J308" s="2" t="s">
        <v>16</v>
      </c>
    </row>
    <row r="309" spans="1:10">
      <c r="A309" s="2" t="s">
        <v>818</v>
      </c>
      <c r="B309" s="2" t="s">
        <v>781</v>
      </c>
      <c r="C309" s="2" t="s">
        <v>782</v>
      </c>
      <c r="D309" s="2" t="s">
        <v>819</v>
      </c>
      <c r="E309" s="3">
        <v>46073.401186342693</v>
      </c>
      <c r="F309" s="2" t="s">
        <v>812</v>
      </c>
      <c r="G309" s="2" t="s">
        <v>813</v>
      </c>
      <c r="H309" s="2" t="s">
        <v>17</v>
      </c>
      <c r="I309" s="2" t="s">
        <v>786</v>
      </c>
      <c r="J309" s="2" t="s">
        <v>16</v>
      </c>
    </row>
    <row r="310" spans="1:10">
      <c r="A310" s="2" t="s">
        <v>820</v>
      </c>
      <c r="B310" s="2" t="s">
        <v>781</v>
      </c>
      <c r="C310" s="2" t="s">
        <v>782</v>
      </c>
      <c r="D310" s="2" t="s">
        <v>821</v>
      </c>
      <c r="E310" s="3">
        <v>46069.546550925923</v>
      </c>
      <c r="F310" s="2" t="s">
        <v>784</v>
      </c>
      <c r="G310" s="2" t="s">
        <v>785</v>
      </c>
      <c r="H310" s="2" t="s">
        <v>17</v>
      </c>
      <c r="I310" s="2" t="s">
        <v>786</v>
      </c>
      <c r="J310" s="2" t="s">
        <v>16</v>
      </c>
    </row>
  </sheetData>
  <phoneticPr fontId="43" type="noConversion"/>
  <pageMargins left="0.75" right="0.75" top="1" bottom="1" header="0.5" footer="0.5"/>
  <pageSetup fitToHeight="100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T302"/>
  <sheetViews>
    <sheetView showGridLines="0" zoomScaleNormal="100" workbookViewId="0"/>
  </sheetViews>
  <sheetFormatPr defaultColWidth="9" defaultRowHeight="14.25"/>
  <cols>
    <col min="1" max="1" width="25.42578125" style="9" customWidth="1"/>
    <col min="2" max="2" width="25.42578125" style="6" customWidth="1"/>
    <col min="3" max="3" width="58.42578125" style="7" bestFit="1" customWidth="1"/>
    <col min="4" max="4" width="15.42578125" style="7" customWidth="1"/>
    <col min="5" max="5" width="18.42578125" style="7" customWidth="1"/>
    <col min="6" max="6" width="16.42578125" style="7" customWidth="1"/>
    <col min="7" max="7" width="10.42578125" style="7" customWidth="1"/>
    <col min="8" max="15" width="8.42578125" style="7" customWidth="1"/>
    <col min="16" max="16" width="1.42578125" style="7" customWidth="1"/>
    <col min="17" max="16384" width="9" style="7"/>
  </cols>
  <sheetData>
    <row r="1" spans="1:20" s="20" customFormat="1" ht="25.5" customHeight="1">
      <c r="A1" s="18" t="s">
        <v>822</v>
      </c>
      <c r="B1" s="19"/>
      <c r="C1" s="11">
        <f>Data!B2</f>
        <v>46074.958065405095</v>
      </c>
    </row>
    <row r="2" spans="1:20" s="25" customFormat="1" ht="25.5" customHeight="1">
      <c r="A2" s="21" t="str">
        <f>Data!B1</f>
        <v>Sanjaya ( Demo Database)</v>
      </c>
      <c r="B2" s="22"/>
      <c r="C2" s="23"/>
      <c r="D2" s="24"/>
      <c r="E2" s="23"/>
      <c r="F2" s="23"/>
      <c r="P2" s="61"/>
      <c r="S2" s="58" t="s">
        <v>823</v>
      </c>
      <c r="T2" s="58" t="s">
        <v>824</v>
      </c>
    </row>
    <row r="3" spans="1:20" s="27" customFormat="1" ht="17.850000000000001" customHeight="1">
      <c r="A3" s="21"/>
      <c r="B3" s="26"/>
      <c r="D3" s="28"/>
      <c r="H3" s="83"/>
      <c r="I3" s="80" t="s">
        <v>825</v>
      </c>
      <c r="J3" s="80"/>
      <c r="K3" s="80"/>
      <c r="L3" s="80"/>
      <c r="M3" s="80"/>
      <c r="N3" s="80"/>
      <c r="O3" s="80"/>
      <c r="P3" s="62"/>
      <c r="S3" s="27" t="s">
        <v>822</v>
      </c>
    </row>
    <row r="4" spans="1:20" s="31" customFormat="1" ht="17.850000000000001" customHeight="1">
      <c r="A4" s="79" t="s">
        <v>55</v>
      </c>
      <c r="B4" s="79"/>
      <c r="C4" s="29"/>
      <c r="D4" s="30"/>
      <c r="E4" s="29"/>
      <c r="F4" s="29"/>
      <c r="H4" s="84"/>
      <c r="I4" s="81"/>
      <c r="J4" s="81"/>
      <c r="K4" s="81"/>
      <c r="L4" s="81"/>
      <c r="M4" s="81"/>
      <c r="N4" s="81"/>
      <c r="O4" s="81"/>
      <c r="P4" s="63"/>
      <c r="S4" s="59" t="s">
        <v>826</v>
      </c>
    </row>
    <row r="5" spans="1:20" s="31" customFormat="1" ht="17.850000000000001" customHeight="1">
      <c r="A5" s="33" t="s">
        <v>827</v>
      </c>
      <c r="B5" s="34">
        <f>Data!B3</f>
        <v>45678</v>
      </c>
      <c r="C5" s="29"/>
      <c r="D5" s="30"/>
      <c r="E5" s="29"/>
      <c r="F5" s="29"/>
      <c r="H5" s="84"/>
      <c r="I5" s="81"/>
      <c r="J5" s="81"/>
      <c r="K5" s="81"/>
      <c r="L5" s="81"/>
      <c r="M5" s="81"/>
      <c r="N5" s="81"/>
      <c r="O5" s="81"/>
      <c r="P5" s="63"/>
    </row>
    <row r="6" spans="1:20" s="31" customFormat="1" ht="17.850000000000001" customHeight="1">
      <c r="A6" s="33" t="s">
        <v>828</v>
      </c>
      <c r="B6" s="34">
        <f>Data!B4</f>
        <v>46074.999988425923</v>
      </c>
      <c r="C6" s="29"/>
      <c r="D6" s="32"/>
      <c r="E6" s="29"/>
      <c r="F6" s="29"/>
      <c r="H6" s="84"/>
      <c r="I6" s="81"/>
      <c r="J6" s="81"/>
      <c r="K6" s="81"/>
      <c r="L6" s="81"/>
      <c r="M6" s="81"/>
      <c r="N6" s="81"/>
      <c r="O6" s="81"/>
      <c r="P6" s="63"/>
    </row>
    <row r="7" spans="1:20" s="31" customFormat="1" ht="17.850000000000001" customHeight="1">
      <c r="A7" s="33" t="s">
        <v>829</v>
      </c>
      <c r="B7" s="35">
        <f>B6-B5+1</f>
        <v>397.99998842592322</v>
      </c>
      <c r="C7" s="29"/>
      <c r="D7" s="32"/>
      <c r="E7" s="29"/>
      <c r="F7" s="29"/>
      <c r="H7" s="85"/>
      <c r="I7" s="82"/>
      <c r="J7" s="82"/>
      <c r="K7" s="82"/>
      <c r="L7" s="82"/>
      <c r="M7" s="82"/>
      <c r="N7" s="82"/>
      <c r="O7" s="82"/>
      <c r="P7" s="64"/>
    </row>
    <row r="8" spans="1:20" ht="17.850000000000001" customHeight="1"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</row>
    <row r="9" spans="1:20" s="8" customFormat="1" ht="17.25">
      <c r="A9" s="70" t="s">
        <v>830</v>
      </c>
      <c r="B9" s="70" t="s">
        <v>831</v>
      </c>
      <c r="C9" s="70" t="s">
        <v>76</v>
      </c>
      <c r="D9" s="70" t="s">
        <v>100</v>
      </c>
      <c r="E9" s="70" t="s">
        <v>832</v>
      </c>
      <c r="F9" s="71" t="s">
        <v>823</v>
      </c>
      <c r="G9"/>
    </row>
    <row r="10" spans="1:20" ht="16.5">
      <c r="A10" s="69" t="s">
        <v>30</v>
      </c>
      <c r="B10" s="69"/>
      <c r="C10" s="69"/>
      <c r="D10" s="69"/>
      <c r="E10" s="69"/>
      <c r="F10" s="90"/>
      <c r="G10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</row>
    <row r="11" spans="1:20" ht="12.75">
      <c r="A11"/>
      <c r="B11"/>
      <c r="C11"/>
      <c r="D11"/>
      <c r="E11"/>
      <c r="F11"/>
      <c r="G11"/>
      <c r="H11" s="65"/>
      <c r="I11" s="65"/>
      <c r="J11" s="86" t="str">
        <f>IF(SUM(F10:F10000)=0,  'Active Faults Summary'!$S$4, "")</f>
        <v>No Engine Faults Detected</v>
      </c>
      <c r="K11" s="86"/>
      <c r="L11" s="86"/>
      <c r="M11" s="86"/>
      <c r="N11" s="65"/>
      <c r="O11" s="65"/>
      <c r="P11" s="65"/>
      <c r="Q11" s="65"/>
      <c r="R11" s="65"/>
      <c r="S11" s="65"/>
      <c r="T11" s="65"/>
    </row>
    <row r="12" spans="1:20" ht="12.75">
      <c r="A12"/>
      <c r="B12"/>
      <c r="C12"/>
      <c r="D12"/>
      <c r="E12"/>
      <c r="F12"/>
      <c r="G12"/>
      <c r="H12" s="65"/>
      <c r="I12" s="65"/>
      <c r="J12" s="86"/>
      <c r="K12" s="86"/>
      <c r="L12" s="86"/>
      <c r="M12" s="86"/>
      <c r="N12" s="65"/>
      <c r="O12" s="65"/>
      <c r="P12" s="65"/>
      <c r="Q12" s="65"/>
      <c r="R12" s="65"/>
      <c r="S12" s="65"/>
      <c r="T12" s="65"/>
    </row>
    <row r="13" spans="1:20" ht="12.75">
      <c r="A13"/>
      <c r="B13"/>
      <c r="C13"/>
      <c r="D13"/>
      <c r="E13"/>
      <c r="F13"/>
      <c r="G13"/>
      <c r="H13" s="65"/>
      <c r="I13" s="65"/>
      <c r="J13" s="86"/>
      <c r="K13" s="86"/>
      <c r="L13" s="86"/>
      <c r="M13" s="86"/>
      <c r="N13" s="65"/>
      <c r="O13" s="65"/>
      <c r="P13" s="65"/>
      <c r="Q13" s="65"/>
      <c r="R13" s="65"/>
      <c r="S13" s="65"/>
      <c r="T13" s="65"/>
    </row>
    <row r="14" spans="1:20" ht="12.75">
      <c r="A14"/>
      <c r="B14"/>
      <c r="C14"/>
      <c r="D14"/>
      <c r="E14"/>
      <c r="F14"/>
      <c r="G14"/>
      <c r="H14" s="65"/>
      <c r="I14" s="65"/>
      <c r="J14" s="86"/>
      <c r="K14" s="86"/>
      <c r="L14" s="86"/>
      <c r="M14" s="86"/>
      <c r="N14" s="65"/>
      <c r="O14" s="65"/>
      <c r="P14" s="65"/>
      <c r="Q14" s="65"/>
      <c r="R14" s="65"/>
      <c r="S14" s="65"/>
      <c r="T14" s="65"/>
    </row>
    <row r="15" spans="1:20" ht="12.75">
      <c r="A15"/>
      <c r="B15"/>
      <c r="C15"/>
      <c r="D15"/>
      <c r="E15"/>
      <c r="F15"/>
      <c r="G15"/>
      <c r="H15" s="65"/>
      <c r="I15" s="65"/>
      <c r="J15" s="86"/>
      <c r="K15" s="86"/>
      <c r="L15" s="86"/>
      <c r="M15" s="86"/>
      <c r="N15" s="65"/>
      <c r="O15" s="65"/>
      <c r="P15" s="65"/>
      <c r="Q15" s="65"/>
      <c r="R15" s="65"/>
      <c r="S15" s="65"/>
      <c r="T15" s="65"/>
    </row>
    <row r="16" spans="1:20" ht="12.75">
      <c r="A16"/>
      <c r="B16"/>
      <c r="C16"/>
      <c r="D16"/>
      <c r="E16"/>
      <c r="F16"/>
      <c r="G16"/>
      <c r="J16" s="86"/>
      <c r="K16" s="86"/>
      <c r="L16" s="86"/>
      <c r="M16" s="86"/>
    </row>
    <row r="17" spans="1:7" ht="12.75">
      <c r="A17"/>
      <c r="B17"/>
      <c r="C17"/>
      <c r="D17"/>
      <c r="E17"/>
      <c r="F17"/>
      <c r="G17"/>
    </row>
    <row r="18" spans="1:7" ht="12.75">
      <c r="A18"/>
      <c r="B18"/>
      <c r="C18"/>
      <c r="D18"/>
      <c r="E18"/>
      <c r="F18"/>
      <c r="G18"/>
    </row>
    <row r="19" spans="1:7" ht="12.75">
      <c r="A19"/>
      <c r="B19"/>
      <c r="C19"/>
      <c r="D19"/>
      <c r="E19"/>
      <c r="F19"/>
      <c r="G19"/>
    </row>
    <row r="20" spans="1:7" ht="12.75">
      <c r="A20"/>
      <c r="B20"/>
      <c r="C20"/>
      <c r="D20"/>
      <c r="E20"/>
      <c r="F20"/>
      <c r="G20"/>
    </row>
    <row r="21" spans="1:7" ht="12.75">
      <c r="A21"/>
      <c r="B21"/>
      <c r="C21"/>
      <c r="D21"/>
      <c r="E21"/>
      <c r="F21"/>
      <c r="G21"/>
    </row>
    <row r="22" spans="1:7" ht="12.75">
      <c r="A22"/>
      <c r="B22"/>
      <c r="C22"/>
      <c r="D22"/>
      <c r="E22"/>
      <c r="F22"/>
      <c r="G22"/>
    </row>
    <row r="23" spans="1:7" ht="12.75">
      <c r="A23"/>
      <c r="B23"/>
      <c r="C23"/>
      <c r="D23"/>
      <c r="E23"/>
      <c r="F23"/>
      <c r="G23"/>
    </row>
    <row r="24" spans="1:7" ht="12.75">
      <c r="A24"/>
      <c r="B24"/>
      <c r="C24"/>
      <c r="D24"/>
      <c r="E24"/>
      <c r="F24"/>
      <c r="G24"/>
    </row>
    <row r="25" spans="1:7" ht="12.75">
      <c r="A25"/>
      <c r="B25"/>
      <c r="C25"/>
      <c r="D25"/>
      <c r="E25"/>
      <c r="F25"/>
      <c r="G25"/>
    </row>
    <row r="26" spans="1:7" ht="12.75">
      <c r="A26"/>
      <c r="B26"/>
      <c r="C26"/>
      <c r="D26"/>
      <c r="E26"/>
      <c r="F26"/>
      <c r="G26"/>
    </row>
    <row r="27" spans="1:7" ht="12.75">
      <c r="A27"/>
      <c r="B27"/>
      <c r="C27"/>
      <c r="D27"/>
      <c r="E27"/>
      <c r="F27"/>
      <c r="G27"/>
    </row>
    <row r="28" spans="1:7" ht="12.75">
      <c r="A28"/>
      <c r="B28"/>
      <c r="C28"/>
      <c r="D28"/>
      <c r="E28"/>
      <c r="F28"/>
      <c r="G28"/>
    </row>
    <row r="29" spans="1:7" ht="16.5" customHeight="1">
      <c r="A29"/>
      <c r="B29"/>
      <c r="C29"/>
      <c r="D29"/>
      <c r="E29"/>
      <c r="F29"/>
      <c r="G29"/>
    </row>
    <row r="30" spans="1:7" ht="16.5" customHeight="1">
      <c r="A30"/>
      <c r="B30"/>
      <c r="C30"/>
      <c r="D30"/>
      <c r="E30"/>
      <c r="F30"/>
      <c r="G30"/>
    </row>
    <row r="31" spans="1:7" ht="16.5" customHeight="1">
      <c r="A31"/>
      <c r="B31"/>
      <c r="C31"/>
      <c r="D31"/>
      <c r="E31"/>
      <c r="F31"/>
      <c r="G31"/>
    </row>
    <row r="32" spans="1:7" ht="16.5" customHeight="1">
      <c r="A32"/>
      <c r="B32"/>
      <c r="C32"/>
      <c r="D32"/>
      <c r="E32"/>
      <c r="F32"/>
      <c r="G32"/>
    </row>
    <row r="33" spans="1:7" ht="16.5" customHeight="1">
      <c r="A33"/>
      <c r="B33"/>
      <c r="C33"/>
      <c r="D33"/>
      <c r="E33"/>
      <c r="F33"/>
      <c r="G33"/>
    </row>
    <row r="34" spans="1:7" ht="16.5" customHeight="1">
      <c r="A34"/>
      <c r="B34"/>
      <c r="C34"/>
      <c r="D34"/>
      <c r="E34"/>
      <c r="F34"/>
      <c r="G34"/>
    </row>
    <row r="35" spans="1:7" ht="16.5" customHeight="1">
      <c r="A35"/>
      <c r="B35"/>
      <c r="C35"/>
      <c r="D35"/>
      <c r="E35"/>
      <c r="F35"/>
      <c r="G35"/>
    </row>
    <row r="36" spans="1:7" ht="16.5" customHeight="1">
      <c r="A36"/>
      <c r="B36"/>
      <c r="C36"/>
      <c r="D36"/>
      <c r="E36"/>
      <c r="F36"/>
      <c r="G36"/>
    </row>
    <row r="37" spans="1:7" ht="16.5" customHeight="1">
      <c r="A37"/>
      <c r="B37"/>
      <c r="C37"/>
      <c r="D37"/>
      <c r="E37"/>
      <c r="F37"/>
      <c r="G37"/>
    </row>
    <row r="38" spans="1:7" ht="16.5" customHeight="1">
      <c r="A38"/>
      <c r="B38"/>
      <c r="C38"/>
      <c r="D38"/>
      <c r="E38"/>
      <c r="F38"/>
      <c r="G38"/>
    </row>
    <row r="39" spans="1:7" ht="16.5" customHeight="1">
      <c r="A39"/>
      <c r="B39"/>
      <c r="C39"/>
      <c r="D39"/>
      <c r="E39"/>
      <c r="F39"/>
      <c r="G39"/>
    </row>
    <row r="40" spans="1:7" ht="16.5" customHeight="1">
      <c r="A40"/>
      <c r="B40"/>
      <c r="C40"/>
      <c r="D40"/>
      <c r="E40"/>
      <c r="F40"/>
      <c r="G40"/>
    </row>
    <row r="41" spans="1:7" ht="16.5" customHeight="1">
      <c r="A41"/>
      <c r="B41"/>
      <c r="C41"/>
      <c r="D41"/>
      <c r="E41"/>
      <c r="F41"/>
      <c r="G41"/>
    </row>
    <row r="42" spans="1:7" ht="16.5" customHeight="1">
      <c r="A42"/>
      <c r="B42"/>
      <c r="C42"/>
      <c r="D42"/>
      <c r="E42"/>
      <c r="F42"/>
      <c r="G42"/>
    </row>
    <row r="43" spans="1:7" ht="16.5" customHeight="1">
      <c r="A43"/>
      <c r="B43"/>
      <c r="C43"/>
      <c r="D43"/>
      <c r="E43"/>
      <c r="F43"/>
      <c r="G43"/>
    </row>
    <row r="44" spans="1:7" ht="16.5" customHeight="1">
      <c r="A44"/>
      <c r="B44"/>
      <c r="C44"/>
      <c r="D44"/>
      <c r="E44"/>
      <c r="F44"/>
      <c r="G44"/>
    </row>
    <row r="45" spans="1:7" ht="16.5" customHeight="1">
      <c r="A45"/>
      <c r="B45"/>
      <c r="C45"/>
      <c r="D45"/>
      <c r="E45"/>
      <c r="F45"/>
      <c r="G45"/>
    </row>
    <row r="46" spans="1:7" ht="16.5" customHeight="1">
      <c r="A46"/>
      <c r="B46"/>
      <c r="C46"/>
      <c r="D46"/>
      <c r="E46"/>
      <c r="F46"/>
      <c r="G46"/>
    </row>
    <row r="47" spans="1:7" ht="16.5" customHeight="1">
      <c r="A47"/>
      <c r="B47"/>
      <c r="C47"/>
      <c r="D47"/>
      <c r="E47"/>
      <c r="F47"/>
      <c r="G47"/>
    </row>
    <row r="48" spans="1:7" ht="16.5" customHeight="1">
      <c r="A48"/>
      <c r="B48"/>
      <c r="C48"/>
      <c r="D48"/>
      <c r="E48"/>
      <c r="F48"/>
      <c r="G48"/>
    </row>
    <row r="49" spans="1:7" ht="16.5" customHeight="1">
      <c r="A49"/>
      <c r="B49"/>
      <c r="C49"/>
      <c r="D49"/>
      <c r="E49"/>
      <c r="F49"/>
      <c r="G49"/>
    </row>
    <row r="50" spans="1:7" ht="16.5" customHeight="1">
      <c r="A50"/>
      <c r="B50"/>
      <c r="C50"/>
      <c r="D50"/>
      <c r="E50"/>
      <c r="F50"/>
      <c r="G50"/>
    </row>
    <row r="51" spans="1:7" ht="16.5" customHeight="1">
      <c r="A51"/>
      <c r="B51"/>
      <c r="C51"/>
      <c r="D51"/>
      <c r="E51"/>
      <c r="F51"/>
      <c r="G51"/>
    </row>
    <row r="52" spans="1:7" ht="16.5" customHeight="1">
      <c r="A52"/>
      <c r="B52"/>
      <c r="C52"/>
      <c r="D52"/>
      <c r="E52"/>
      <c r="F52"/>
      <c r="G52"/>
    </row>
    <row r="53" spans="1:7" ht="16.5" customHeight="1">
      <c r="A53"/>
      <c r="B53"/>
      <c r="C53"/>
      <c r="D53"/>
      <c r="E53"/>
      <c r="F53"/>
      <c r="G53"/>
    </row>
    <row r="54" spans="1:7" ht="16.5" customHeight="1">
      <c r="A54"/>
      <c r="B54"/>
      <c r="C54"/>
      <c r="D54"/>
      <c r="E54"/>
      <c r="F54"/>
      <c r="G54"/>
    </row>
    <row r="55" spans="1:7" ht="16.5" customHeight="1">
      <c r="A55"/>
      <c r="B55"/>
      <c r="C55"/>
      <c r="D55"/>
      <c r="E55"/>
      <c r="F55"/>
      <c r="G55"/>
    </row>
    <row r="56" spans="1:7" ht="16.5" customHeight="1">
      <c r="A56"/>
      <c r="B56"/>
      <c r="C56"/>
      <c r="D56"/>
      <c r="E56"/>
      <c r="F56"/>
      <c r="G56"/>
    </row>
    <row r="57" spans="1:7" ht="16.5" customHeight="1">
      <c r="A57"/>
      <c r="B57"/>
      <c r="C57"/>
      <c r="D57"/>
      <c r="E57"/>
      <c r="F57"/>
      <c r="G57"/>
    </row>
    <row r="58" spans="1:7" ht="16.5" customHeight="1">
      <c r="A58"/>
      <c r="B58"/>
      <c r="C58"/>
      <c r="D58"/>
      <c r="E58"/>
      <c r="F58"/>
      <c r="G58"/>
    </row>
    <row r="59" spans="1:7" ht="16.5" customHeight="1">
      <c r="A59"/>
      <c r="B59"/>
      <c r="C59"/>
      <c r="D59"/>
      <c r="E59"/>
      <c r="F59"/>
      <c r="G59"/>
    </row>
    <row r="60" spans="1:7" ht="16.5" customHeight="1">
      <c r="A60"/>
      <c r="B60"/>
      <c r="C60"/>
      <c r="D60"/>
      <c r="E60"/>
      <c r="F60"/>
      <c r="G60"/>
    </row>
    <row r="61" spans="1:7" ht="16.5" customHeight="1">
      <c r="A61"/>
      <c r="B61"/>
      <c r="C61"/>
      <c r="D61"/>
      <c r="E61"/>
      <c r="F61"/>
      <c r="G61"/>
    </row>
    <row r="62" spans="1:7" ht="16.5" customHeight="1">
      <c r="A62"/>
      <c r="B62"/>
      <c r="C62"/>
      <c r="D62"/>
      <c r="E62"/>
      <c r="F62"/>
      <c r="G62"/>
    </row>
    <row r="63" spans="1:7" ht="16.5" customHeight="1">
      <c r="A63"/>
      <c r="B63"/>
      <c r="C63"/>
      <c r="D63"/>
      <c r="E63"/>
      <c r="F63"/>
      <c r="G63"/>
    </row>
    <row r="64" spans="1:7" ht="16.5" customHeight="1">
      <c r="A64"/>
      <c r="B64"/>
      <c r="C64"/>
      <c r="D64"/>
      <c r="E64"/>
      <c r="F64"/>
      <c r="G64"/>
    </row>
    <row r="65" spans="1:7" ht="16.5" customHeight="1">
      <c r="A65"/>
      <c r="B65"/>
      <c r="C65"/>
      <c r="D65"/>
      <c r="E65"/>
      <c r="F65"/>
      <c r="G65"/>
    </row>
    <row r="66" spans="1:7" ht="16.5" customHeight="1">
      <c r="A66"/>
      <c r="B66"/>
      <c r="C66"/>
      <c r="D66"/>
      <c r="E66"/>
      <c r="F66"/>
      <c r="G66"/>
    </row>
    <row r="67" spans="1:7" ht="16.5" customHeight="1">
      <c r="A67"/>
      <c r="B67"/>
      <c r="C67"/>
      <c r="D67"/>
      <c r="E67"/>
      <c r="F67"/>
      <c r="G67"/>
    </row>
    <row r="68" spans="1:7" ht="16.5" customHeight="1">
      <c r="A68"/>
      <c r="B68"/>
      <c r="C68"/>
      <c r="D68"/>
      <c r="E68"/>
      <c r="F68"/>
      <c r="G68"/>
    </row>
    <row r="69" spans="1:7" ht="16.5" customHeight="1">
      <c r="A69"/>
      <c r="B69"/>
      <c r="C69"/>
      <c r="D69"/>
      <c r="E69"/>
      <c r="F69"/>
      <c r="G69"/>
    </row>
    <row r="70" spans="1:7" ht="16.5" customHeight="1">
      <c r="A70"/>
      <c r="B70"/>
      <c r="C70"/>
      <c r="D70"/>
      <c r="E70"/>
      <c r="F70"/>
      <c r="G70"/>
    </row>
    <row r="71" spans="1:7" ht="16.5" customHeight="1">
      <c r="A71"/>
      <c r="B71"/>
      <c r="C71"/>
      <c r="D71"/>
      <c r="E71"/>
      <c r="F71"/>
      <c r="G71"/>
    </row>
    <row r="72" spans="1:7" ht="16.5" customHeight="1">
      <c r="A72"/>
      <c r="B72"/>
      <c r="C72"/>
      <c r="D72"/>
      <c r="E72"/>
      <c r="F72"/>
      <c r="G72"/>
    </row>
    <row r="73" spans="1:7" ht="16.5" customHeight="1">
      <c r="A73"/>
      <c r="B73"/>
      <c r="C73"/>
      <c r="D73"/>
      <c r="E73"/>
      <c r="F73"/>
      <c r="G73"/>
    </row>
    <row r="74" spans="1:7" ht="16.5" customHeight="1">
      <c r="A74"/>
      <c r="B74"/>
      <c r="C74"/>
      <c r="D74"/>
      <c r="E74"/>
      <c r="F74"/>
      <c r="G74"/>
    </row>
    <row r="75" spans="1:7" ht="16.5" customHeight="1">
      <c r="A75"/>
      <c r="B75"/>
      <c r="C75"/>
      <c r="D75"/>
      <c r="E75"/>
      <c r="F75"/>
      <c r="G75"/>
    </row>
    <row r="76" spans="1:7" ht="16.5" customHeight="1">
      <c r="A76"/>
      <c r="B76"/>
      <c r="C76"/>
      <c r="D76"/>
      <c r="E76"/>
      <c r="F76"/>
      <c r="G76"/>
    </row>
    <row r="77" spans="1:7" ht="16.5" customHeight="1">
      <c r="A77"/>
      <c r="B77"/>
      <c r="C77"/>
      <c r="D77"/>
      <c r="E77"/>
      <c r="F77"/>
      <c r="G77"/>
    </row>
    <row r="78" spans="1:7" ht="16.5" customHeight="1">
      <c r="A78"/>
      <c r="B78"/>
      <c r="C78"/>
      <c r="D78"/>
      <c r="E78"/>
      <c r="F78"/>
      <c r="G78"/>
    </row>
    <row r="79" spans="1:7" ht="16.5" customHeight="1">
      <c r="A79"/>
      <c r="B79"/>
      <c r="C79"/>
      <c r="D79"/>
      <c r="E79"/>
      <c r="F79"/>
      <c r="G79"/>
    </row>
    <row r="80" spans="1:7" ht="16.5" customHeight="1">
      <c r="A80"/>
      <c r="B80"/>
      <c r="C80"/>
      <c r="D80"/>
      <c r="E80"/>
      <c r="F80"/>
      <c r="G80"/>
    </row>
    <row r="81" spans="1:7" ht="16.5" customHeight="1">
      <c r="A81"/>
      <c r="B81"/>
      <c r="C81"/>
      <c r="D81"/>
      <c r="E81"/>
      <c r="F81"/>
      <c r="G81"/>
    </row>
    <row r="82" spans="1:7" ht="16.5" customHeight="1">
      <c r="A82"/>
      <c r="B82"/>
      <c r="C82"/>
      <c r="D82"/>
      <c r="E82"/>
      <c r="F82"/>
      <c r="G82"/>
    </row>
    <row r="83" spans="1:7" ht="16.5" customHeight="1">
      <c r="A83"/>
      <c r="B83"/>
      <c r="C83"/>
      <c r="D83"/>
      <c r="E83"/>
      <c r="F83"/>
      <c r="G83"/>
    </row>
    <row r="84" spans="1:7" ht="16.5" customHeight="1">
      <c r="A84"/>
      <c r="B84"/>
      <c r="C84"/>
      <c r="D84"/>
      <c r="E84"/>
      <c r="F84"/>
      <c r="G84"/>
    </row>
    <row r="85" spans="1:7" ht="16.5" customHeight="1">
      <c r="A85"/>
      <c r="B85"/>
      <c r="C85"/>
      <c r="D85"/>
      <c r="E85"/>
      <c r="F85"/>
      <c r="G85"/>
    </row>
    <row r="86" spans="1:7" ht="16.5" customHeight="1">
      <c r="A86"/>
      <c r="B86"/>
      <c r="C86"/>
      <c r="D86"/>
      <c r="E86"/>
      <c r="F86"/>
      <c r="G86"/>
    </row>
    <row r="87" spans="1:7" ht="16.5" customHeight="1">
      <c r="A87"/>
      <c r="B87"/>
      <c r="C87"/>
      <c r="D87"/>
      <c r="E87"/>
      <c r="F87"/>
      <c r="G87"/>
    </row>
    <row r="88" spans="1:7" ht="16.5" customHeight="1">
      <c r="A88"/>
      <c r="B88"/>
      <c r="C88"/>
      <c r="D88"/>
      <c r="E88"/>
      <c r="F88"/>
      <c r="G88"/>
    </row>
    <row r="89" spans="1:7" ht="16.5" customHeight="1">
      <c r="A89"/>
      <c r="B89"/>
      <c r="C89"/>
      <c r="D89"/>
      <c r="E89"/>
      <c r="F89"/>
      <c r="G89"/>
    </row>
    <row r="90" spans="1:7" ht="16.5" customHeight="1">
      <c r="A90"/>
      <c r="B90"/>
      <c r="C90"/>
      <c r="D90"/>
      <c r="E90"/>
      <c r="F90"/>
      <c r="G90"/>
    </row>
    <row r="91" spans="1:7" ht="16.5" customHeight="1">
      <c r="A91"/>
      <c r="B91"/>
      <c r="C91"/>
      <c r="D91"/>
      <c r="E91"/>
      <c r="F91"/>
      <c r="G91"/>
    </row>
    <row r="92" spans="1:7" ht="16.5" customHeight="1">
      <c r="A92"/>
      <c r="B92"/>
      <c r="C92"/>
      <c r="D92"/>
      <c r="E92"/>
      <c r="F92"/>
      <c r="G92"/>
    </row>
    <row r="93" spans="1:7" ht="16.5" customHeight="1">
      <c r="A93"/>
      <c r="B93"/>
      <c r="C93"/>
      <c r="D93"/>
      <c r="E93"/>
      <c r="F93"/>
      <c r="G93"/>
    </row>
    <row r="94" spans="1:7" ht="16.5" customHeight="1">
      <c r="A94"/>
      <c r="B94"/>
      <c r="C94"/>
      <c r="D94"/>
      <c r="E94"/>
      <c r="F94"/>
      <c r="G94"/>
    </row>
    <row r="95" spans="1:7" ht="16.5" customHeight="1">
      <c r="A95"/>
      <c r="B95"/>
      <c r="C95"/>
      <c r="D95"/>
      <c r="E95"/>
      <c r="F95"/>
      <c r="G95"/>
    </row>
    <row r="96" spans="1:7" ht="16.5" customHeight="1">
      <c r="A96"/>
      <c r="B96"/>
      <c r="C96"/>
      <c r="D96"/>
      <c r="E96"/>
      <c r="F96"/>
      <c r="G96"/>
    </row>
    <row r="97" spans="1:7" ht="16.5" customHeight="1">
      <c r="A97"/>
      <c r="B97"/>
      <c r="C97"/>
      <c r="D97"/>
      <c r="E97"/>
      <c r="F97"/>
      <c r="G97"/>
    </row>
    <row r="98" spans="1:7" ht="16.5" customHeight="1">
      <c r="A98"/>
      <c r="B98"/>
      <c r="C98"/>
      <c r="D98"/>
      <c r="E98"/>
      <c r="F98"/>
      <c r="G98"/>
    </row>
    <row r="99" spans="1:7" ht="16.5" customHeight="1">
      <c r="A99"/>
      <c r="B99"/>
      <c r="C99"/>
      <c r="D99"/>
      <c r="E99"/>
      <c r="F99"/>
      <c r="G99"/>
    </row>
    <row r="100" spans="1:7" ht="16.5" customHeight="1">
      <c r="A100"/>
      <c r="B100"/>
      <c r="C100"/>
      <c r="D100"/>
      <c r="E100"/>
      <c r="F100"/>
      <c r="G100"/>
    </row>
    <row r="101" spans="1:7" ht="16.5" customHeight="1">
      <c r="A101"/>
      <c r="B101"/>
      <c r="C101"/>
      <c r="D101"/>
      <c r="E101"/>
      <c r="F101"/>
      <c r="G101"/>
    </row>
    <row r="102" spans="1:7" ht="16.5" customHeight="1">
      <c r="A102"/>
      <c r="B102"/>
      <c r="C102"/>
      <c r="D102"/>
      <c r="E102"/>
      <c r="F102"/>
      <c r="G102"/>
    </row>
    <row r="103" spans="1:7" ht="16.5" customHeight="1">
      <c r="A103"/>
      <c r="B103"/>
      <c r="C103"/>
      <c r="D103"/>
      <c r="E103"/>
      <c r="F103"/>
      <c r="G103"/>
    </row>
    <row r="104" spans="1:7" ht="16.5" customHeight="1">
      <c r="A104"/>
      <c r="B104"/>
      <c r="C104"/>
      <c r="D104"/>
      <c r="E104"/>
      <c r="F104"/>
      <c r="G104"/>
    </row>
    <row r="105" spans="1:7" ht="16.5" customHeight="1">
      <c r="A105"/>
      <c r="B105"/>
      <c r="C105"/>
      <c r="D105"/>
      <c r="E105"/>
      <c r="F105"/>
      <c r="G105"/>
    </row>
    <row r="106" spans="1:7" ht="16.5" customHeight="1">
      <c r="A106"/>
      <c r="B106"/>
      <c r="C106"/>
      <c r="D106"/>
      <c r="E106"/>
      <c r="F106"/>
      <c r="G106"/>
    </row>
    <row r="107" spans="1:7" ht="16.5" customHeight="1">
      <c r="A107"/>
      <c r="B107"/>
      <c r="C107"/>
      <c r="D107"/>
      <c r="E107"/>
      <c r="F107"/>
      <c r="G107"/>
    </row>
    <row r="108" spans="1:7" ht="16.5" customHeight="1">
      <c r="A108"/>
      <c r="B108"/>
      <c r="C108"/>
      <c r="D108"/>
      <c r="E108"/>
      <c r="F108"/>
      <c r="G108"/>
    </row>
    <row r="109" spans="1:7" ht="16.5" customHeight="1">
      <c r="A109"/>
      <c r="B109"/>
      <c r="C109"/>
      <c r="D109"/>
      <c r="E109"/>
      <c r="F109"/>
      <c r="G109"/>
    </row>
    <row r="110" spans="1:7" ht="16.5" customHeight="1">
      <c r="A110"/>
      <c r="B110"/>
      <c r="C110"/>
      <c r="D110"/>
      <c r="E110"/>
      <c r="F110"/>
      <c r="G110"/>
    </row>
    <row r="111" spans="1:7" ht="16.5" customHeight="1">
      <c r="A111"/>
      <c r="B111"/>
      <c r="C111"/>
      <c r="D111"/>
      <c r="E111"/>
      <c r="F111"/>
      <c r="G111"/>
    </row>
    <row r="112" spans="1:7" ht="16.5" customHeight="1">
      <c r="A112"/>
      <c r="B112"/>
      <c r="C112"/>
      <c r="D112"/>
      <c r="E112"/>
      <c r="F112"/>
      <c r="G112"/>
    </row>
    <row r="113" spans="1:7" ht="16.5" customHeight="1">
      <c r="A113"/>
      <c r="B113"/>
      <c r="C113"/>
      <c r="D113"/>
      <c r="E113"/>
      <c r="F113"/>
      <c r="G113"/>
    </row>
    <row r="114" spans="1:7" ht="16.5" customHeight="1">
      <c r="A114"/>
      <c r="B114"/>
      <c r="C114"/>
      <c r="D114"/>
      <c r="E114"/>
      <c r="F114"/>
      <c r="G114"/>
    </row>
    <row r="115" spans="1:7" ht="16.5" customHeight="1">
      <c r="A115"/>
      <c r="B115"/>
      <c r="C115"/>
      <c r="D115"/>
      <c r="E115"/>
      <c r="F115"/>
      <c r="G115"/>
    </row>
    <row r="116" spans="1:7" ht="16.5" customHeight="1">
      <c r="A116"/>
      <c r="B116"/>
      <c r="C116"/>
      <c r="D116"/>
      <c r="E116"/>
      <c r="F116"/>
      <c r="G116"/>
    </row>
    <row r="117" spans="1:7" ht="16.5" customHeight="1">
      <c r="A117"/>
      <c r="B117"/>
      <c r="C117"/>
      <c r="D117"/>
      <c r="E117"/>
      <c r="F117"/>
      <c r="G117"/>
    </row>
    <row r="118" spans="1:7" ht="16.5" customHeight="1">
      <c r="A118"/>
      <c r="B118"/>
      <c r="C118"/>
      <c r="D118"/>
      <c r="E118"/>
      <c r="F118"/>
      <c r="G118"/>
    </row>
    <row r="119" spans="1:7" ht="16.5" customHeight="1">
      <c r="A119"/>
      <c r="B119"/>
      <c r="C119"/>
      <c r="D119"/>
      <c r="E119"/>
      <c r="F119"/>
      <c r="G119"/>
    </row>
    <row r="120" spans="1:7" ht="16.5" customHeight="1">
      <c r="A120"/>
      <c r="B120"/>
      <c r="C120"/>
      <c r="D120"/>
      <c r="E120"/>
      <c r="F120"/>
      <c r="G120"/>
    </row>
    <row r="121" spans="1:7" ht="16.5" customHeight="1">
      <c r="A121"/>
      <c r="B121"/>
      <c r="C121"/>
      <c r="D121"/>
      <c r="E121"/>
      <c r="F121"/>
      <c r="G121"/>
    </row>
    <row r="122" spans="1:7" ht="16.5" customHeight="1">
      <c r="A122"/>
      <c r="B122"/>
      <c r="C122"/>
      <c r="D122"/>
      <c r="E122"/>
      <c r="F122"/>
      <c r="G122"/>
    </row>
    <row r="123" spans="1:7" ht="16.5" customHeight="1">
      <c r="A123"/>
      <c r="B123"/>
      <c r="C123"/>
      <c r="D123"/>
      <c r="E123"/>
      <c r="F123"/>
      <c r="G123"/>
    </row>
    <row r="124" spans="1:7" ht="16.5" customHeight="1">
      <c r="A124"/>
      <c r="B124"/>
      <c r="C124"/>
      <c r="D124"/>
      <c r="E124"/>
      <c r="F124"/>
      <c r="G124"/>
    </row>
    <row r="125" spans="1:7" ht="16.5" customHeight="1">
      <c r="A125"/>
      <c r="B125"/>
      <c r="C125"/>
      <c r="D125"/>
      <c r="E125"/>
      <c r="F125"/>
      <c r="G125"/>
    </row>
    <row r="126" spans="1:7" ht="16.5" customHeight="1">
      <c r="A126"/>
      <c r="B126"/>
      <c r="C126"/>
      <c r="D126"/>
      <c r="E126"/>
      <c r="F126"/>
      <c r="G126"/>
    </row>
    <row r="127" spans="1:7" ht="16.5" customHeight="1">
      <c r="A127"/>
      <c r="B127"/>
      <c r="C127"/>
      <c r="D127"/>
      <c r="E127"/>
      <c r="F127"/>
      <c r="G127"/>
    </row>
    <row r="128" spans="1:7" ht="16.5" customHeight="1">
      <c r="A128"/>
      <c r="B128"/>
      <c r="C128"/>
      <c r="D128"/>
      <c r="E128"/>
      <c r="F128"/>
      <c r="G128"/>
    </row>
    <row r="129" spans="1:7" ht="16.5" customHeight="1">
      <c r="A129"/>
      <c r="B129"/>
      <c r="C129"/>
      <c r="D129"/>
      <c r="E129"/>
      <c r="F129"/>
      <c r="G129"/>
    </row>
    <row r="130" spans="1:7" ht="16.5" customHeight="1">
      <c r="A130"/>
      <c r="B130"/>
      <c r="C130"/>
      <c r="D130"/>
      <c r="E130"/>
      <c r="F130"/>
      <c r="G130"/>
    </row>
    <row r="131" spans="1:7" ht="16.5" customHeight="1">
      <c r="A131"/>
      <c r="B131"/>
      <c r="C131"/>
      <c r="D131"/>
      <c r="E131"/>
      <c r="F131"/>
      <c r="G131"/>
    </row>
    <row r="132" spans="1:7" ht="16.5" customHeight="1">
      <c r="A132"/>
      <c r="B132"/>
      <c r="C132"/>
      <c r="D132"/>
      <c r="E132"/>
      <c r="F132"/>
      <c r="G132"/>
    </row>
    <row r="133" spans="1:7" ht="16.5" customHeight="1">
      <c r="A133"/>
      <c r="B133"/>
      <c r="C133"/>
      <c r="D133"/>
      <c r="E133"/>
      <c r="F133"/>
      <c r="G133"/>
    </row>
    <row r="134" spans="1:7" ht="16.5" customHeight="1">
      <c r="A134"/>
      <c r="B134"/>
      <c r="C134"/>
      <c r="D134"/>
      <c r="E134"/>
      <c r="F134"/>
      <c r="G134"/>
    </row>
    <row r="135" spans="1:7" ht="16.5" customHeight="1">
      <c r="A135"/>
      <c r="B135"/>
      <c r="C135"/>
      <c r="D135"/>
      <c r="E135"/>
      <c r="F135"/>
      <c r="G135"/>
    </row>
    <row r="136" spans="1:7" ht="16.5" customHeight="1">
      <c r="A136"/>
      <c r="B136"/>
      <c r="C136"/>
      <c r="D136"/>
      <c r="E136"/>
      <c r="F136"/>
      <c r="G136"/>
    </row>
    <row r="137" spans="1:7" ht="16.5" customHeight="1">
      <c r="A137"/>
      <c r="B137"/>
      <c r="C137"/>
      <c r="D137"/>
      <c r="E137"/>
      <c r="F137"/>
      <c r="G137"/>
    </row>
    <row r="138" spans="1:7" ht="16.5" customHeight="1">
      <c r="A138"/>
      <c r="B138"/>
      <c r="C138"/>
      <c r="D138"/>
      <c r="E138"/>
      <c r="F138"/>
      <c r="G138"/>
    </row>
    <row r="139" spans="1:7" ht="16.5" customHeight="1">
      <c r="A139"/>
      <c r="B139"/>
      <c r="C139"/>
      <c r="D139"/>
      <c r="E139"/>
      <c r="F139"/>
      <c r="G139"/>
    </row>
    <row r="140" spans="1:7" ht="16.5" customHeight="1">
      <c r="A140"/>
      <c r="B140"/>
      <c r="C140"/>
      <c r="D140"/>
      <c r="E140"/>
      <c r="F140"/>
      <c r="G140"/>
    </row>
    <row r="141" spans="1:7" ht="16.5" customHeight="1">
      <c r="A141"/>
      <c r="B141"/>
      <c r="C141"/>
      <c r="D141"/>
      <c r="E141"/>
      <c r="F141"/>
      <c r="G141"/>
    </row>
    <row r="142" spans="1:7" ht="16.5" customHeight="1">
      <c r="A142"/>
      <c r="B142"/>
      <c r="C142"/>
      <c r="D142"/>
      <c r="E142"/>
      <c r="F142"/>
      <c r="G142"/>
    </row>
    <row r="143" spans="1:7" ht="16.5" customHeight="1">
      <c r="A143"/>
      <c r="B143"/>
      <c r="C143"/>
      <c r="D143"/>
      <c r="E143"/>
      <c r="F143"/>
      <c r="G143"/>
    </row>
    <row r="144" spans="1:7" ht="16.5" customHeight="1">
      <c r="A144"/>
      <c r="B144"/>
      <c r="C144"/>
      <c r="D144"/>
      <c r="E144"/>
      <c r="F144"/>
      <c r="G144"/>
    </row>
    <row r="145" spans="1:7" ht="16.5" customHeight="1">
      <c r="A145"/>
      <c r="B145"/>
      <c r="C145"/>
      <c r="D145"/>
      <c r="E145"/>
      <c r="F145"/>
      <c r="G145"/>
    </row>
    <row r="146" spans="1:7" ht="16.5" customHeight="1">
      <c r="A146"/>
      <c r="B146"/>
      <c r="C146"/>
      <c r="D146"/>
      <c r="E146"/>
      <c r="F146"/>
      <c r="G146"/>
    </row>
    <row r="147" spans="1:7" ht="16.5" customHeight="1">
      <c r="A147"/>
      <c r="B147"/>
      <c r="C147"/>
      <c r="D147"/>
      <c r="E147"/>
      <c r="F147"/>
      <c r="G147"/>
    </row>
    <row r="148" spans="1:7" ht="16.5" customHeight="1">
      <c r="A148"/>
      <c r="B148"/>
      <c r="C148"/>
      <c r="D148"/>
      <c r="E148"/>
      <c r="F148"/>
      <c r="G148"/>
    </row>
    <row r="149" spans="1:7" ht="16.5" customHeight="1">
      <c r="A149"/>
      <c r="B149"/>
      <c r="C149"/>
      <c r="D149"/>
      <c r="E149"/>
      <c r="F149"/>
      <c r="G149"/>
    </row>
    <row r="150" spans="1:7" ht="16.5" customHeight="1">
      <c r="A150"/>
      <c r="B150"/>
      <c r="C150"/>
      <c r="D150"/>
      <c r="E150"/>
      <c r="F150"/>
      <c r="G150"/>
    </row>
    <row r="151" spans="1:7" ht="16.5" customHeight="1">
      <c r="A151"/>
      <c r="B151"/>
      <c r="C151"/>
      <c r="D151"/>
      <c r="E151"/>
      <c r="F151"/>
      <c r="G151"/>
    </row>
    <row r="152" spans="1:7" ht="16.5" customHeight="1">
      <c r="A152"/>
      <c r="B152"/>
      <c r="C152"/>
      <c r="D152"/>
      <c r="E152"/>
      <c r="F152"/>
      <c r="G152"/>
    </row>
    <row r="153" spans="1:7" ht="16.5" customHeight="1">
      <c r="A153"/>
      <c r="B153"/>
      <c r="C153"/>
      <c r="D153"/>
      <c r="E153"/>
      <c r="F153"/>
      <c r="G153"/>
    </row>
    <row r="154" spans="1:7" ht="16.5" customHeight="1">
      <c r="A154"/>
      <c r="B154"/>
      <c r="C154"/>
      <c r="D154"/>
      <c r="E154"/>
      <c r="F154"/>
      <c r="G154"/>
    </row>
    <row r="155" spans="1:7" ht="16.5" customHeight="1">
      <c r="A155"/>
      <c r="B155"/>
      <c r="C155"/>
      <c r="D155"/>
      <c r="E155"/>
      <c r="F155"/>
      <c r="G155"/>
    </row>
    <row r="156" spans="1:7" ht="16.5" customHeight="1">
      <c r="A156"/>
      <c r="B156"/>
      <c r="C156"/>
      <c r="D156"/>
      <c r="E156"/>
      <c r="F156"/>
      <c r="G156"/>
    </row>
    <row r="157" spans="1:7" ht="16.5" customHeight="1">
      <c r="A157"/>
      <c r="B157"/>
      <c r="C157"/>
      <c r="D157"/>
      <c r="E157"/>
      <c r="F157"/>
      <c r="G157"/>
    </row>
    <row r="158" spans="1:7" ht="16.5" customHeight="1">
      <c r="A158"/>
      <c r="B158"/>
      <c r="C158"/>
      <c r="D158"/>
      <c r="E158"/>
      <c r="F158"/>
      <c r="G158"/>
    </row>
    <row r="159" spans="1:7" ht="16.5" customHeight="1">
      <c r="A159"/>
      <c r="B159"/>
      <c r="C159"/>
      <c r="D159"/>
      <c r="E159"/>
      <c r="F159"/>
      <c r="G159"/>
    </row>
    <row r="160" spans="1:7" ht="16.5" customHeight="1">
      <c r="A160"/>
      <c r="B160"/>
      <c r="C160"/>
      <c r="D160"/>
      <c r="E160"/>
      <c r="F160"/>
      <c r="G160"/>
    </row>
    <row r="161" spans="1:7" ht="16.5" customHeight="1">
      <c r="A161"/>
      <c r="B161"/>
      <c r="C161"/>
      <c r="D161"/>
      <c r="E161"/>
      <c r="F161"/>
      <c r="G161"/>
    </row>
    <row r="162" spans="1:7" ht="16.5" customHeight="1">
      <c r="A162"/>
      <c r="B162"/>
      <c r="C162"/>
      <c r="D162"/>
      <c r="E162"/>
      <c r="F162"/>
      <c r="G162"/>
    </row>
    <row r="163" spans="1:7" ht="16.5" customHeight="1">
      <c r="A163"/>
      <c r="B163"/>
      <c r="C163"/>
      <c r="D163"/>
      <c r="E163"/>
      <c r="F163"/>
      <c r="G163"/>
    </row>
    <row r="164" spans="1:7" ht="16.5" customHeight="1">
      <c r="A164"/>
      <c r="B164"/>
      <c r="C164"/>
      <c r="D164"/>
      <c r="E164"/>
      <c r="F164"/>
      <c r="G164"/>
    </row>
    <row r="165" spans="1:7" ht="16.5" customHeight="1">
      <c r="A165"/>
      <c r="B165"/>
      <c r="C165"/>
      <c r="D165"/>
      <c r="E165"/>
      <c r="F165"/>
      <c r="G165"/>
    </row>
    <row r="166" spans="1:7" ht="16.5" customHeight="1">
      <c r="A166"/>
      <c r="B166"/>
      <c r="C166"/>
      <c r="D166"/>
      <c r="E166"/>
      <c r="F166"/>
      <c r="G166"/>
    </row>
    <row r="167" spans="1:7" ht="16.5" customHeight="1">
      <c r="A167"/>
      <c r="B167"/>
      <c r="C167"/>
      <c r="D167"/>
      <c r="E167"/>
      <c r="F167"/>
      <c r="G167"/>
    </row>
    <row r="168" spans="1:7" ht="16.5" customHeight="1">
      <c r="A168"/>
      <c r="B168"/>
      <c r="C168"/>
      <c r="D168"/>
      <c r="E168"/>
      <c r="F168"/>
      <c r="G168"/>
    </row>
    <row r="169" spans="1:7" ht="16.5" customHeight="1">
      <c r="A169"/>
      <c r="B169"/>
      <c r="C169"/>
      <c r="D169"/>
      <c r="E169"/>
      <c r="F169"/>
      <c r="G169"/>
    </row>
    <row r="170" spans="1:7" ht="16.5" customHeight="1">
      <c r="A170"/>
      <c r="B170"/>
      <c r="C170"/>
      <c r="D170"/>
      <c r="E170"/>
      <c r="F170"/>
      <c r="G170"/>
    </row>
    <row r="171" spans="1:7" ht="16.5" customHeight="1">
      <c r="A171"/>
      <c r="B171"/>
      <c r="C171"/>
      <c r="D171"/>
      <c r="E171"/>
      <c r="F171"/>
      <c r="G171"/>
    </row>
    <row r="172" spans="1:7" ht="16.5" customHeight="1">
      <c r="A172"/>
      <c r="B172"/>
      <c r="C172"/>
      <c r="D172"/>
      <c r="E172"/>
      <c r="F172"/>
      <c r="G172"/>
    </row>
    <row r="173" spans="1:7" ht="16.5" customHeight="1">
      <c r="A173"/>
      <c r="B173"/>
      <c r="C173"/>
      <c r="D173"/>
      <c r="E173"/>
      <c r="F173"/>
      <c r="G173"/>
    </row>
    <row r="174" spans="1:7" ht="16.5" customHeight="1">
      <c r="A174"/>
      <c r="B174"/>
      <c r="C174"/>
      <c r="D174"/>
      <c r="E174"/>
      <c r="F174"/>
      <c r="G174"/>
    </row>
    <row r="175" spans="1:7" ht="16.5" customHeight="1">
      <c r="A175"/>
      <c r="B175"/>
      <c r="C175"/>
      <c r="D175"/>
      <c r="E175"/>
      <c r="F175"/>
      <c r="G175"/>
    </row>
    <row r="176" spans="1:7" ht="16.5" customHeight="1">
      <c r="A176"/>
      <c r="B176"/>
      <c r="C176"/>
      <c r="D176"/>
      <c r="E176"/>
      <c r="F176"/>
      <c r="G176"/>
    </row>
    <row r="177" spans="1:7" ht="16.5" customHeight="1">
      <c r="A177"/>
      <c r="B177"/>
      <c r="C177"/>
      <c r="D177"/>
      <c r="E177"/>
      <c r="F177"/>
      <c r="G177"/>
    </row>
    <row r="178" spans="1:7" ht="16.5" customHeight="1">
      <c r="A178"/>
      <c r="B178"/>
      <c r="C178"/>
      <c r="D178"/>
      <c r="E178"/>
      <c r="F178"/>
      <c r="G178"/>
    </row>
    <row r="179" spans="1:7" ht="16.5" customHeight="1">
      <c r="A179"/>
      <c r="B179"/>
      <c r="C179"/>
      <c r="D179"/>
      <c r="E179"/>
      <c r="F179"/>
      <c r="G179"/>
    </row>
    <row r="180" spans="1:7" ht="16.5" customHeight="1">
      <c r="A180"/>
      <c r="B180"/>
      <c r="C180"/>
      <c r="D180"/>
      <c r="E180"/>
      <c r="F180"/>
      <c r="G180"/>
    </row>
    <row r="181" spans="1:7" ht="16.5" customHeight="1">
      <c r="A181"/>
      <c r="B181"/>
      <c r="C181"/>
      <c r="D181"/>
      <c r="E181"/>
      <c r="F181"/>
      <c r="G181"/>
    </row>
    <row r="182" spans="1:7" ht="16.5" customHeight="1">
      <c r="A182"/>
      <c r="B182"/>
      <c r="C182"/>
      <c r="D182"/>
      <c r="E182"/>
      <c r="F182"/>
      <c r="G182"/>
    </row>
    <row r="183" spans="1:7" ht="16.5" customHeight="1">
      <c r="A183"/>
      <c r="B183"/>
      <c r="C183"/>
      <c r="D183"/>
      <c r="E183"/>
      <c r="F183"/>
      <c r="G183"/>
    </row>
    <row r="184" spans="1:7" ht="16.5" customHeight="1">
      <c r="A184"/>
      <c r="B184"/>
      <c r="C184"/>
      <c r="D184"/>
      <c r="E184"/>
      <c r="F184"/>
      <c r="G184"/>
    </row>
    <row r="185" spans="1:7" ht="16.5" customHeight="1">
      <c r="A185"/>
      <c r="B185"/>
      <c r="C185"/>
      <c r="D185"/>
      <c r="E185"/>
      <c r="F185"/>
      <c r="G185"/>
    </row>
    <row r="186" spans="1:7" ht="16.5" customHeight="1">
      <c r="A186"/>
      <c r="B186"/>
      <c r="C186"/>
      <c r="D186"/>
      <c r="E186"/>
      <c r="F186"/>
      <c r="G186"/>
    </row>
    <row r="187" spans="1:7" ht="16.5" customHeight="1">
      <c r="A187"/>
      <c r="B187"/>
      <c r="C187"/>
      <c r="D187"/>
      <c r="E187"/>
      <c r="F187"/>
      <c r="G187"/>
    </row>
    <row r="188" spans="1:7" ht="16.5" customHeight="1">
      <c r="A188"/>
      <c r="B188"/>
      <c r="C188"/>
      <c r="D188"/>
      <c r="E188"/>
      <c r="F188"/>
      <c r="G188"/>
    </row>
    <row r="189" spans="1:7" ht="16.5" customHeight="1">
      <c r="A189"/>
      <c r="B189"/>
      <c r="C189"/>
      <c r="D189"/>
      <c r="E189"/>
      <c r="F189"/>
      <c r="G189"/>
    </row>
    <row r="190" spans="1:7" ht="16.5" customHeight="1">
      <c r="A190"/>
      <c r="B190"/>
      <c r="C190"/>
      <c r="D190"/>
      <c r="E190"/>
      <c r="F190"/>
      <c r="G190"/>
    </row>
    <row r="191" spans="1:7" ht="16.5" customHeight="1">
      <c r="A191"/>
      <c r="B191"/>
      <c r="C191"/>
      <c r="D191"/>
      <c r="E191"/>
      <c r="F191"/>
      <c r="G191"/>
    </row>
    <row r="192" spans="1:7" ht="16.5" customHeight="1">
      <c r="A192"/>
      <c r="B192"/>
      <c r="C192"/>
      <c r="D192"/>
      <c r="E192"/>
      <c r="F192"/>
      <c r="G192"/>
    </row>
    <row r="193" spans="1:7" ht="16.5" customHeight="1">
      <c r="A193"/>
      <c r="B193"/>
      <c r="C193"/>
      <c r="D193"/>
      <c r="E193"/>
      <c r="F193"/>
      <c r="G193"/>
    </row>
    <row r="194" spans="1:7" ht="16.5" customHeight="1">
      <c r="A194"/>
      <c r="B194"/>
      <c r="C194"/>
      <c r="D194"/>
      <c r="E194"/>
      <c r="F194"/>
      <c r="G194"/>
    </row>
    <row r="195" spans="1:7" ht="16.5" customHeight="1">
      <c r="A195"/>
      <c r="B195"/>
      <c r="C195"/>
      <c r="D195"/>
      <c r="E195"/>
      <c r="F195"/>
      <c r="G195"/>
    </row>
    <row r="196" spans="1:7" ht="16.5" customHeight="1">
      <c r="A196"/>
      <c r="B196"/>
      <c r="C196"/>
      <c r="D196"/>
      <c r="E196"/>
      <c r="F196"/>
      <c r="G196"/>
    </row>
    <row r="197" spans="1:7" ht="16.5" customHeight="1">
      <c r="A197"/>
      <c r="B197"/>
      <c r="C197"/>
      <c r="D197"/>
      <c r="E197"/>
      <c r="F197"/>
      <c r="G197"/>
    </row>
    <row r="198" spans="1:7" ht="16.5" customHeight="1">
      <c r="A198"/>
      <c r="B198"/>
      <c r="C198"/>
      <c r="D198"/>
      <c r="E198"/>
      <c r="F198"/>
      <c r="G198"/>
    </row>
    <row r="199" spans="1:7" ht="16.5" customHeight="1">
      <c r="A199"/>
      <c r="B199"/>
      <c r="C199"/>
      <c r="D199"/>
      <c r="E199"/>
      <c r="F199"/>
      <c r="G199"/>
    </row>
    <row r="200" spans="1:7" ht="16.5" customHeight="1">
      <c r="A200"/>
      <c r="B200"/>
      <c r="C200"/>
      <c r="D200"/>
      <c r="E200"/>
      <c r="F200"/>
      <c r="G200"/>
    </row>
    <row r="201" spans="1:7" ht="16.5" customHeight="1">
      <c r="A201"/>
      <c r="B201"/>
      <c r="C201"/>
      <c r="D201"/>
      <c r="E201"/>
      <c r="F201"/>
      <c r="G201"/>
    </row>
    <row r="202" spans="1:7" ht="16.5" customHeight="1">
      <c r="A202"/>
      <c r="B202"/>
      <c r="C202"/>
      <c r="D202"/>
      <c r="E202"/>
      <c r="F202"/>
      <c r="G202"/>
    </row>
    <row r="203" spans="1:7" ht="16.5" customHeight="1">
      <c r="A203"/>
      <c r="B203"/>
      <c r="C203"/>
      <c r="D203"/>
      <c r="E203"/>
      <c r="F203"/>
      <c r="G203"/>
    </row>
    <row r="204" spans="1:7" ht="16.5" customHeight="1">
      <c r="A204"/>
      <c r="B204"/>
      <c r="C204"/>
      <c r="D204"/>
      <c r="E204"/>
      <c r="F204"/>
      <c r="G204"/>
    </row>
    <row r="205" spans="1:7" ht="16.5" customHeight="1">
      <c r="A205"/>
      <c r="B205"/>
      <c r="C205"/>
      <c r="D205"/>
      <c r="E205"/>
      <c r="F205"/>
      <c r="G205"/>
    </row>
    <row r="206" spans="1:7" ht="16.5" customHeight="1">
      <c r="A206"/>
      <c r="B206"/>
      <c r="C206"/>
      <c r="D206"/>
      <c r="E206"/>
      <c r="F206"/>
      <c r="G206"/>
    </row>
    <row r="207" spans="1:7" ht="16.5" customHeight="1">
      <c r="A207"/>
      <c r="B207"/>
      <c r="C207"/>
      <c r="D207"/>
      <c r="E207"/>
      <c r="F207"/>
      <c r="G207"/>
    </row>
    <row r="208" spans="1:7" ht="16.5" customHeight="1">
      <c r="A208"/>
      <c r="B208"/>
      <c r="C208"/>
      <c r="D208"/>
      <c r="E208"/>
      <c r="F208"/>
      <c r="G208"/>
    </row>
    <row r="209" spans="1:7" ht="16.5" customHeight="1">
      <c r="A209"/>
      <c r="B209"/>
      <c r="C209"/>
      <c r="D209"/>
      <c r="E209"/>
      <c r="F209"/>
      <c r="G209"/>
    </row>
    <row r="210" spans="1:7" ht="16.5" customHeight="1">
      <c r="A210"/>
      <c r="B210"/>
      <c r="C210"/>
      <c r="D210"/>
      <c r="E210"/>
      <c r="F210"/>
      <c r="G210"/>
    </row>
    <row r="211" spans="1:7" ht="16.5" customHeight="1">
      <c r="A211"/>
      <c r="B211"/>
      <c r="C211"/>
      <c r="D211"/>
      <c r="E211"/>
      <c r="F211"/>
      <c r="G211"/>
    </row>
    <row r="212" spans="1:7" ht="16.5" customHeight="1">
      <c r="A212"/>
      <c r="B212"/>
      <c r="C212"/>
      <c r="D212"/>
      <c r="E212"/>
      <c r="F212"/>
      <c r="G212"/>
    </row>
    <row r="213" spans="1:7" ht="16.5" customHeight="1">
      <c r="A213"/>
      <c r="B213"/>
      <c r="C213"/>
      <c r="D213"/>
      <c r="E213"/>
      <c r="F213"/>
      <c r="G213"/>
    </row>
    <row r="214" spans="1:7" ht="16.5" customHeight="1">
      <c r="A214"/>
      <c r="B214"/>
      <c r="C214"/>
      <c r="D214"/>
      <c r="E214"/>
      <c r="F214"/>
      <c r="G214"/>
    </row>
    <row r="215" spans="1:7" ht="16.5" customHeight="1">
      <c r="A215"/>
      <c r="B215"/>
      <c r="C215"/>
      <c r="D215"/>
      <c r="E215"/>
      <c r="F215"/>
      <c r="G215"/>
    </row>
    <row r="216" spans="1:7" ht="16.5" customHeight="1">
      <c r="A216"/>
      <c r="B216"/>
      <c r="C216"/>
      <c r="D216"/>
      <c r="E216"/>
      <c r="F216"/>
      <c r="G216"/>
    </row>
    <row r="217" spans="1:7" ht="16.5" customHeight="1">
      <c r="A217"/>
      <c r="B217"/>
      <c r="C217"/>
      <c r="D217"/>
      <c r="E217"/>
      <c r="F217"/>
      <c r="G217"/>
    </row>
    <row r="218" spans="1:7" ht="16.5" customHeight="1">
      <c r="A218"/>
      <c r="B218"/>
      <c r="C218"/>
      <c r="D218"/>
      <c r="E218"/>
      <c r="F218"/>
      <c r="G218"/>
    </row>
    <row r="219" spans="1:7" ht="16.5" customHeight="1">
      <c r="A219"/>
      <c r="B219"/>
      <c r="C219"/>
      <c r="D219"/>
      <c r="E219"/>
      <c r="F219"/>
      <c r="G219"/>
    </row>
    <row r="220" spans="1:7" ht="16.5" customHeight="1">
      <c r="A220"/>
      <c r="B220"/>
      <c r="C220"/>
      <c r="D220"/>
      <c r="E220"/>
      <c r="F220"/>
      <c r="G220"/>
    </row>
    <row r="221" spans="1:7" ht="16.5" customHeight="1">
      <c r="A221"/>
      <c r="B221"/>
      <c r="C221"/>
      <c r="D221"/>
      <c r="E221"/>
      <c r="F221"/>
      <c r="G221"/>
    </row>
    <row r="222" spans="1:7" ht="16.5" customHeight="1">
      <c r="A222"/>
      <c r="B222"/>
      <c r="C222"/>
      <c r="D222"/>
      <c r="E222"/>
      <c r="F222"/>
      <c r="G222"/>
    </row>
    <row r="223" spans="1:7" ht="16.5" customHeight="1">
      <c r="A223"/>
      <c r="B223"/>
      <c r="C223"/>
      <c r="D223"/>
      <c r="E223"/>
      <c r="F223"/>
      <c r="G223"/>
    </row>
    <row r="224" spans="1:7" ht="16.5" customHeight="1">
      <c r="A224"/>
      <c r="B224"/>
      <c r="C224"/>
      <c r="D224"/>
      <c r="E224"/>
      <c r="F224"/>
      <c r="G224"/>
    </row>
    <row r="225" spans="1:7" ht="16.5" customHeight="1">
      <c r="A225"/>
      <c r="B225"/>
      <c r="C225"/>
      <c r="D225"/>
      <c r="E225"/>
      <c r="F225"/>
      <c r="G225"/>
    </row>
    <row r="226" spans="1:7" ht="16.5" customHeight="1">
      <c r="A226"/>
      <c r="B226"/>
      <c r="C226"/>
      <c r="D226"/>
      <c r="E226"/>
      <c r="F226"/>
      <c r="G226"/>
    </row>
    <row r="227" spans="1:7" ht="16.5" customHeight="1">
      <c r="A227"/>
      <c r="B227"/>
      <c r="C227"/>
      <c r="D227"/>
      <c r="E227"/>
      <c r="F227"/>
      <c r="G227"/>
    </row>
    <row r="228" spans="1:7" ht="16.5" customHeight="1">
      <c r="A228"/>
      <c r="B228"/>
      <c r="C228"/>
      <c r="D228"/>
      <c r="E228"/>
      <c r="F228"/>
      <c r="G228"/>
    </row>
    <row r="229" spans="1:7" ht="16.5" customHeight="1">
      <c r="A229"/>
      <c r="B229"/>
      <c r="C229"/>
      <c r="D229"/>
      <c r="E229"/>
      <c r="F229"/>
      <c r="G229"/>
    </row>
    <row r="230" spans="1:7" ht="16.5" customHeight="1">
      <c r="A230"/>
      <c r="B230"/>
      <c r="C230"/>
      <c r="D230"/>
      <c r="E230"/>
      <c r="F230"/>
      <c r="G230"/>
    </row>
    <row r="231" spans="1:7" ht="16.5" customHeight="1">
      <c r="A231"/>
      <c r="B231"/>
      <c r="C231"/>
      <c r="D231"/>
      <c r="E231"/>
      <c r="F231"/>
      <c r="G231"/>
    </row>
    <row r="232" spans="1:7" ht="16.5" customHeight="1">
      <c r="A232"/>
      <c r="B232"/>
      <c r="C232"/>
      <c r="D232"/>
      <c r="E232"/>
      <c r="F232"/>
      <c r="G232"/>
    </row>
    <row r="233" spans="1:7" ht="16.5" customHeight="1">
      <c r="A233"/>
      <c r="B233"/>
      <c r="C233"/>
      <c r="D233"/>
      <c r="E233"/>
      <c r="F233"/>
      <c r="G233"/>
    </row>
    <row r="234" spans="1:7" ht="16.5" customHeight="1">
      <c r="A234"/>
      <c r="B234"/>
      <c r="C234"/>
      <c r="D234"/>
      <c r="E234"/>
      <c r="F234"/>
      <c r="G234"/>
    </row>
    <row r="235" spans="1:7" ht="16.5" customHeight="1">
      <c r="A235"/>
      <c r="B235"/>
      <c r="C235"/>
      <c r="D235"/>
      <c r="E235"/>
      <c r="F235"/>
      <c r="G235"/>
    </row>
    <row r="236" spans="1:7" ht="16.5" customHeight="1">
      <c r="A236"/>
      <c r="B236"/>
      <c r="C236"/>
      <c r="D236"/>
      <c r="E236"/>
      <c r="F236"/>
      <c r="G236"/>
    </row>
    <row r="237" spans="1:7" ht="16.5" customHeight="1">
      <c r="A237"/>
      <c r="B237"/>
      <c r="C237"/>
      <c r="D237"/>
      <c r="E237"/>
      <c r="F237"/>
      <c r="G237"/>
    </row>
    <row r="238" spans="1:7" ht="16.5" customHeight="1">
      <c r="A238"/>
      <c r="B238"/>
      <c r="C238"/>
      <c r="D238"/>
      <c r="E238"/>
      <c r="F238"/>
      <c r="G238"/>
    </row>
    <row r="239" spans="1:7" ht="16.5" customHeight="1">
      <c r="A239"/>
      <c r="B239"/>
      <c r="C239"/>
      <c r="D239"/>
      <c r="E239"/>
      <c r="F239"/>
      <c r="G239"/>
    </row>
    <row r="240" spans="1:7" ht="16.5" customHeight="1">
      <c r="A240"/>
      <c r="B240"/>
      <c r="C240"/>
      <c r="D240"/>
      <c r="E240"/>
      <c r="F240"/>
      <c r="G240"/>
    </row>
    <row r="241" spans="1:7" ht="16.5" customHeight="1">
      <c r="A241"/>
      <c r="B241"/>
      <c r="C241"/>
      <c r="D241"/>
      <c r="E241"/>
      <c r="F241"/>
      <c r="G241"/>
    </row>
    <row r="242" spans="1:7" ht="16.5" customHeight="1">
      <c r="A242"/>
      <c r="B242"/>
      <c r="C242"/>
      <c r="D242"/>
      <c r="E242"/>
      <c r="F242"/>
      <c r="G242"/>
    </row>
    <row r="243" spans="1:7" ht="16.5" customHeight="1">
      <c r="A243"/>
      <c r="B243"/>
      <c r="C243"/>
      <c r="D243"/>
      <c r="E243"/>
      <c r="F243"/>
      <c r="G243"/>
    </row>
    <row r="244" spans="1:7" ht="16.5" customHeight="1">
      <c r="A244"/>
      <c r="B244"/>
      <c r="C244"/>
      <c r="D244"/>
      <c r="E244"/>
      <c r="F244"/>
      <c r="G244"/>
    </row>
    <row r="245" spans="1:7" ht="16.5" customHeight="1">
      <c r="A245"/>
      <c r="B245"/>
      <c r="C245"/>
      <c r="D245"/>
      <c r="E245"/>
      <c r="F245"/>
      <c r="G245"/>
    </row>
    <row r="246" spans="1:7" ht="16.5" customHeight="1">
      <c r="A246"/>
      <c r="B246"/>
      <c r="C246"/>
      <c r="D246"/>
      <c r="E246"/>
      <c r="F246"/>
      <c r="G246"/>
    </row>
    <row r="247" spans="1:7" ht="16.5" customHeight="1">
      <c r="A247"/>
      <c r="B247"/>
      <c r="C247"/>
      <c r="D247"/>
      <c r="E247"/>
      <c r="F247"/>
      <c r="G247"/>
    </row>
    <row r="248" spans="1:7" ht="16.5" customHeight="1">
      <c r="A248"/>
      <c r="B248"/>
      <c r="C248"/>
      <c r="D248"/>
      <c r="E248"/>
      <c r="F248"/>
      <c r="G248"/>
    </row>
    <row r="249" spans="1:7" ht="16.5" customHeight="1">
      <c r="A249"/>
      <c r="B249"/>
      <c r="C249"/>
      <c r="D249"/>
      <c r="E249"/>
      <c r="F249"/>
      <c r="G249"/>
    </row>
    <row r="250" spans="1:7" ht="16.5" customHeight="1">
      <c r="A250"/>
      <c r="B250"/>
      <c r="C250"/>
      <c r="D250"/>
      <c r="E250"/>
      <c r="F250"/>
      <c r="G250"/>
    </row>
    <row r="251" spans="1:7" ht="16.5" customHeight="1">
      <c r="A251"/>
      <c r="B251"/>
      <c r="C251"/>
      <c r="D251"/>
      <c r="E251"/>
      <c r="F251"/>
      <c r="G251"/>
    </row>
    <row r="252" spans="1:7" ht="16.5" customHeight="1">
      <c r="A252"/>
      <c r="B252"/>
      <c r="C252"/>
      <c r="D252"/>
      <c r="E252"/>
      <c r="F252"/>
      <c r="G252"/>
    </row>
    <row r="253" spans="1:7" ht="16.5" customHeight="1">
      <c r="A253"/>
      <c r="B253"/>
      <c r="C253"/>
      <c r="D253"/>
      <c r="E253"/>
      <c r="F253"/>
      <c r="G253"/>
    </row>
    <row r="254" spans="1:7" ht="16.5" customHeight="1">
      <c r="A254"/>
      <c r="B254"/>
      <c r="C254"/>
      <c r="D254"/>
      <c r="E254"/>
      <c r="F254"/>
      <c r="G254"/>
    </row>
    <row r="255" spans="1:7" ht="16.5" customHeight="1">
      <c r="A255"/>
      <c r="B255"/>
      <c r="C255"/>
      <c r="D255"/>
      <c r="E255"/>
      <c r="F255"/>
      <c r="G255"/>
    </row>
    <row r="256" spans="1:7" ht="16.5" customHeight="1">
      <c r="A256"/>
      <c r="B256"/>
      <c r="C256"/>
      <c r="D256"/>
      <c r="E256"/>
      <c r="F256"/>
      <c r="G256"/>
    </row>
    <row r="257" spans="1:7" ht="16.5" customHeight="1">
      <c r="A257"/>
      <c r="B257"/>
      <c r="C257"/>
      <c r="D257"/>
      <c r="E257"/>
      <c r="F257"/>
      <c r="G257"/>
    </row>
    <row r="258" spans="1:7" ht="16.5" customHeight="1">
      <c r="A258"/>
      <c r="B258"/>
      <c r="C258"/>
      <c r="D258"/>
      <c r="E258"/>
      <c r="F258"/>
      <c r="G258"/>
    </row>
    <row r="259" spans="1:7" ht="16.5" customHeight="1">
      <c r="A259"/>
      <c r="B259"/>
      <c r="C259"/>
      <c r="D259"/>
      <c r="E259"/>
      <c r="F259"/>
      <c r="G259"/>
    </row>
    <row r="260" spans="1:7" ht="16.5" customHeight="1">
      <c r="A260"/>
      <c r="B260"/>
      <c r="C260"/>
      <c r="D260"/>
      <c r="E260"/>
      <c r="F260"/>
      <c r="G260"/>
    </row>
    <row r="261" spans="1:7" ht="16.5" customHeight="1">
      <c r="A261"/>
      <c r="B261"/>
      <c r="C261"/>
      <c r="D261"/>
      <c r="E261"/>
      <c r="F261"/>
      <c r="G261"/>
    </row>
    <row r="262" spans="1:7" ht="16.5" customHeight="1">
      <c r="A262"/>
      <c r="B262"/>
      <c r="C262"/>
      <c r="D262"/>
      <c r="E262"/>
      <c r="F262"/>
      <c r="G262"/>
    </row>
    <row r="263" spans="1:7" ht="16.5" customHeight="1">
      <c r="A263"/>
      <c r="B263"/>
      <c r="C263"/>
      <c r="D263"/>
      <c r="E263"/>
      <c r="F263"/>
      <c r="G263"/>
    </row>
    <row r="264" spans="1:7" ht="16.5" customHeight="1">
      <c r="A264"/>
      <c r="B264"/>
      <c r="C264"/>
      <c r="D264"/>
      <c r="E264"/>
      <c r="F264"/>
      <c r="G264"/>
    </row>
    <row r="265" spans="1:7" ht="16.5" customHeight="1">
      <c r="A265"/>
      <c r="B265"/>
      <c r="C265"/>
      <c r="D265"/>
      <c r="E265"/>
      <c r="F265"/>
      <c r="G265"/>
    </row>
    <row r="266" spans="1:7" ht="16.5" customHeight="1">
      <c r="A266"/>
      <c r="B266"/>
      <c r="C266"/>
      <c r="D266"/>
      <c r="E266"/>
      <c r="F266"/>
      <c r="G266"/>
    </row>
    <row r="267" spans="1:7" ht="16.5" customHeight="1">
      <c r="A267"/>
      <c r="B267"/>
      <c r="C267"/>
      <c r="D267"/>
      <c r="E267"/>
      <c r="F267"/>
      <c r="G267"/>
    </row>
    <row r="268" spans="1:7" ht="16.5" customHeight="1">
      <c r="A268"/>
      <c r="B268"/>
      <c r="C268"/>
      <c r="D268"/>
      <c r="E268"/>
      <c r="F268"/>
      <c r="G268"/>
    </row>
    <row r="269" spans="1:7" ht="16.5" customHeight="1">
      <c r="A269"/>
      <c r="B269"/>
      <c r="C269"/>
      <c r="D269"/>
      <c r="E269"/>
      <c r="F269"/>
      <c r="G269"/>
    </row>
    <row r="270" spans="1:7" ht="16.5" customHeight="1">
      <c r="A270"/>
      <c r="B270"/>
      <c r="C270"/>
      <c r="D270"/>
      <c r="E270"/>
      <c r="F270"/>
      <c r="G270"/>
    </row>
    <row r="271" spans="1:7" ht="16.5" customHeight="1">
      <c r="A271"/>
      <c r="B271"/>
      <c r="C271"/>
      <c r="D271"/>
      <c r="E271"/>
      <c r="F271"/>
      <c r="G271"/>
    </row>
    <row r="272" spans="1:7" ht="16.5" customHeight="1">
      <c r="A272"/>
      <c r="B272"/>
      <c r="C272"/>
      <c r="D272"/>
      <c r="E272"/>
      <c r="F272"/>
      <c r="G272"/>
    </row>
    <row r="273" spans="1:7" ht="16.5" customHeight="1">
      <c r="A273"/>
      <c r="B273"/>
      <c r="C273"/>
      <c r="D273"/>
      <c r="E273"/>
      <c r="F273"/>
      <c r="G273"/>
    </row>
    <row r="274" spans="1:7" ht="16.5" customHeight="1">
      <c r="A274"/>
      <c r="B274"/>
      <c r="C274"/>
      <c r="D274"/>
      <c r="E274"/>
      <c r="F274"/>
      <c r="G274"/>
    </row>
    <row r="275" spans="1:7" ht="16.5" customHeight="1">
      <c r="A275"/>
      <c r="B275"/>
      <c r="C275"/>
      <c r="D275"/>
      <c r="E275"/>
      <c r="F275"/>
      <c r="G275"/>
    </row>
    <row r="276" spans="1:7" ht="16.5" customHeight="1">
      <c r="A276"/>
      <c r="B276"/>
      <c r="C276"/>
      <c r="D276"/>
      <c r="E276"/>
      <c r="F276"/>
      <c r="G276"/>
    </row>
    <row r="277" spans="1:7" ht="16.5" customHeight="1">
      <c r="A277"/>
      <c r="B277"/>
      <c r="C277"/>
      <c r="D277"/>
      <c r="E277"/>
      <c r="F277"/>
      <c r="G277"/>
    </row>
    <row r="278" spans="1:7" ht="16.5" customHeight="1">
      <c r="A278"/>
      <c r="B278"/>
      <c r="C278"/>
      <c r="D278"/>
      <c r="E278"/>
      <c r="F278"/>
      <c r="G278"/>
    </row>
    <row r="279" spans="1:7" ht="16.5" customHeight="1">
      <c r="A279"/>
      <c r="B279"/>
      <c r="C279"/>
      <c r="D279"/>
      <c r="E279"/>
      <c r="F279"/>
      <c r="G279"/>
    </row>
    <row r="280" spans="1:7" ht="16.5" customHeight="1">
      <c r="A280"/>
      <c r="B280"/>
      <c r="C280"/>
      <c r="D280"/>
      <c r="E280"/>
      <c r="F280"/>
      <c r="G280"/>
    </row>
    <row r="281" spans="1:7" ht="16.5" customHeight="1">
      <c r="A281"/>
      <c r="B281"/>
      <c r="C281"/>
      <c r="D281"/>
      <c r="E281"/>
      <c r="F281"/>
      <c r="G281"/>
    </row>
    <row r="282" spans="1:7" ht="16.5" customHeight="1">
      <c r="A282"/>
      <c r="B282"/>
      <c r="C282"/>
      <c r="D282"/>
      <c r="E282"/>
      <c r="F282"/>
      <c r="G282"/>
    </row>
    <row r="283" spans="1:7" ht="16.5" customHeight="1">
      <c r="A283"/>
      <c r="B283"/>
      <c r="C283"/>
      <c r="D283"/>
      <c r="E283"/>
      <c r="F283"/>
      <c r="G283"/>
    </row>
    <row r="284" spans="1:7" ht="16.5" customHeight="1">
      <c r="A284"/>
      <c r="B284"/>
      <c r="C284"/>
      <c r="D284"/>
      <c r="E284"/>
      <c r="F284"/>
      <c r="G284"/>
    </row>
    <row r="285" spans="1:7" ht="16.5" customHeight="1">
      <c r="A285"/>
      <c r="B285"/>
      <c r="C285"/>
      <c r="D285"/>
      <c r="E285"/>
      <c r="F285"/>
      <c r="G285"/>
    </row>
    <row r="286" spans="1:7" ht="16.5" customHeight="1">
      <c r="A286"/>
      <c r="B286"/>
      <c r="C286"/>
      <c r="D286"/>
      <c r="E286"/>
      <c r="F286"/>
      <c r="G286"/>
    </row>
    <row r="287" spans="1:7" ht="16.5" customHeight="1">
      <c r="A287"/>
      <c r="B287"/>
      <c r="C287"/>
      <c r="D287"/>
      <c r="E287"/>
      <c r="F287"/>
      <c r="G287"/>
    </row>
    <row r="288" spans="1:7" ht="16.5" customHeight="1">
      <c r="A288"/>
      <c r="B288"/>
      <c r="C288"/>
      <c r="D288"/>
      <c r="E288"/>
      <c r="F288"/>
      <c r="G288"/>
    </row>
    <row r="289" spans="1:7" ht="16.5" customHeight="1">
      <c r="A289"/>
      <c r="B289"/>
      <c r="C289"/>
      <c r="D289"/>
      <c r="E289"/>
      <c r="F289"/>
      <c r="G289"/>
    </row>
    <row r="290" spans="1:7" ht="16.5" customHeight="1">
      <c r="A290"/>
      <c r="B290"/>
      <c r="C290"/>
      <c r="D290"/>
      <c r="E290"/>
      <c r="F290"/>
      <c r="G290"/>
    </row>
    <row r="291" spans="1:7" ht="16.5" customHeight="1">
      <c r="A291"/>
      <c r="B291"/>
      <c r="C291"/>
      <c r="D291"/>
      <c r="E291"/>
      <c r="F291"/>
      <c r="G291"/>
    </row>
    <row r="292" spans="1:7" ht="16.5" customHeight="1">
      <c r="A292"/>
      <c r="B292"/>
      <c r="C292"/>
      <c r="D292"/>
      <c r="E292"/>
      <c r="F292"/>
      <c r="G292"/>
    </row>
    <row r="293" spans="1:7" ht="16.5" customHeight="1">
      <c r="A293"/>
      <c r="B293"/>
      <c r="C293"/>
      <c r="D293"/>
      <c r="E293"/>
      <c r="F293"/>
      <c r="G293"/>
    </row>
    <row r="294" spans="1:7" ht="16.5" customHeight="1">
      <c r="A294"/>
      <c r="B294"/>
      <c r="C294"/>
      <c r="D294"/>
      <c r="E294"/>
      <c r="F294"/>
      <c r="G294"/>
    </row>
    <row r="295" spans="1:7" ht="16.5" customHeight="1">
      <c r="A295"/>
      <c r="B295"/>
      <c r="C295"/>
      <c r="D295"/>
      <c r="E295"/>
      <c r="F295"/>
      <c r="G295"/>
    </row>
    <row r="296" spans="1:7" ht="16.5" customHeight="1">
      <c r="A296"/>
      <c r="B296"/>
      <c r="C296"/>
      <c r="D296"/>
      <c r="E296"/>
      <c r="F296"/>
      <c r="G296"/>
    </row>
    <row r="297" spans="1:7" ht="16.5" customHeight="1">
      <c r="A297"/>
      <c r="B297"/>
      <c r="C297"/>
      <c r="D297"/>
      <c r="E297"/>
      <c r="F297"/>
      <c r="G297"/>
    </row>
    <row r="298" spans="1:7" ht="16.5" customHeight="1">
      <c r="A298"/>
      <c r="B298"/>
      <c r="C298"/>
      <c r="D298"/>
      <c r="E298"/>
      <c r="F298"/>
      <c r="G298"/>
    </row>
    <row r="299" spans="1:7" ht="16.5" customHeight="1">
      <c r="A299"/>
      <c r="B299"/>
      <c r="C299"/>
      <c r="D299"/>
      <c r="E299"/>
      <c r="F299"/>
      <c r="G299"/>
    </row>
    <row r="300" spans="1:7" ht="16.5" customHeight="1">
      <c r="A300"/>
      <c r="B300"/>
      <c r="C300"/>
      <c r="D300"/>
      <c r="E300"/>
      <c r="F300"/>
      <c r="G300"/>
    </row>
    <row r="301" spans="1:7" ht="16.5" customHeight="1">
      <c r="A301"/>
      <c r="B301"/>
      <c r="C301"/>
      <c r="D301"/>
      <c r="E301"/>
      <c r="F301"/>
      <c r="G301"/>
    </row>
    <row r="302" spans="1:7" ht="16.5" customHeight="1">
      <c r="A302"/>
      <c r="B302"/>
      <c r="C302"/>
      <c r="D302"/>
      <c r="E302"/>
      <c r="F302"/>
      <c r="G302"/>
    </row>
  </sheetData>
  <mergeCells count="4">
    <mergeCell ref="A4:B4"/>
    <mergeCell ref="I3:O7"/>
    <mergeCell ref="H3:H7"/>
    <mergeCell ref="J11:M16"/>
  </mergeCells>
  <conditionalFormatting sqref="C2">
    <cfRule type="cellIs" dxfId="64" priority="1" stopIfTrue="1" operator="lessThan">
      <formula>0.0006944</formula>
    </cfRule>
    <cfRule type="cellIs" dxfId="63" priority="2" stopIfTrue="1" operator="lessThan">
      <formula>0.04166</formula>
    </cfRule>
    <cfRule type="cellIs" dxfId="62" priority="3" stopIfTrue="1" operator="greaterThanOrEqual">
      <formula>0.04166</formula>
    </cfRule>
  </conditionalFormatting>
  <conditionalFormatting sqref="C4:C7">
    <cfRule type="cellIs" dxfId="61" priority="4" stopIfTrue="1" operator="lessThan">
      <formula>0.0006944</formula>
    </cfRule>
    <cfRule type="cellIs" dxfId="60" priority="5" stopIfTrue="1" operator="lessThan">
      <formula>0.04166</formula>
    </cfRule>
    <cfRule type="cellIs" dxfId="59" priority="6" stopIfTrue="1" operator="greaterThanOrEqual">
      <formula>0.04166</formula>
    </cfRule>
  </conditionalFormatting>
  <conditionalFormatting sqref="E8:E9 E39:E1048576">
    <cfRule type="containsText" dxfId="58" priority="8" operator="containsText" text="Vehicle">
      <formula>NOT(ISERROR(SEARCH("Vehicle",E8)))</formula>
    </cfRule>
    <cfRule type="containsText" dxfId="57" priority="9" operator="containsText" text="Device">
      <formula>NOT(ISERROR(SEARCH("Device",E8)))</formula>
    </cfRule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600"/>
  <sheetViews>
    <sheetView showGridLines="0" zoomScale="69" zoomScaleNormal="69" workbookViewId="0">
      <pane ySplit="9" topLeftCell="A13" activePane="bottomLeft" state="frozen"/>
      <selection pane="bottomLeft"/>
    </sheetView>
  </sheetViews>
  <sheetFormatPr defaultColWidth="9" defaultRowHeight="14.25"/>
  <cols>
    <col min="1" max="2" width="25.42578125" style="9" customWidth="1"/>
    <col min="3" max="3" width="25.42578125" style="9" hidden="1" customWidth="1"/>
    <col min="4" max="4" width="30.42578125" style="9" customWidth="1"/>
    <col min="5" max="5" width="30.42578125" style="9" hidden="1" customWidth="1"/>
    <col min="6" max="6" width="60.7109375" style="9" customWidth="1"/>
    <col min="7" max="7" width="64.42578125" style="49" hidden="1" customWidth="1"/>
    <col min="8" max="8" width="24.42578125" style="57" hidden="1" customWidth="1"/>
    <col min="9" max="9" width="16.28515625" style="9" bestFit="1" customWidth="1"/>
    <col min="10" max="10" width="14.42578125" style="17" hidden="1" customWidth="1"/>
    <col min="11" max="11" width="20.28515625" style="9" customWidth="1"/>
    <col min="12" max="12" width="22.42578125" style="17" hidden="1" customWidth="1"/>
    <col min="13" max="13" width="20" style="9" customWidth="1"/>
    <col min="14" max="14" width="10.42578125" style="9" bestFit="1" customWidth="1"/>
    <col min="15" max="16" width="14.28515625" style="9" hidden="1" customWidth="1"/>
    <col min="17" max="18" width="60.7109375" style="9" hidden="1" customWidth="1"/>
    <col min="19" max="19" width="93" style="9" hidden="1" customWidth="1"/>
    <col min="20" max="16384" width="9" style="9"/>
  </cols>
  <sheetData>
    <row r="1" spans="1:20" s="20" customFormat="1" ht="25.5" customHeight="1">
      <c r="A1" s="18" t="s">
        <v>822</v>
      </c>
      <c r="B1" s="19"/>
      <c r="C1" s="19"/>
      <c r="D1" s="11">
        <f>Data!B2</f>
        <v>46074.958065405095</v>
      </c>
      <c r="E1" s="11"/>
      <c r="G1" s="43"/>
      <c r="H1" s="50"/>
      <c r="J1" s="38"/>
    </row>
    <row r="2" spans="1:20" s="25" customFormat="1" ht="25.5" customHeight="1">
      <c r="A2" s="21" t="str">
        <f>Data!B1</f>
        <v>Sanjaya ( Demo Database)</v>
      </c>
      <c r="B2" s="22"/>
      <c r="C2" s="22"/>
      <c r="D2" s="23"/>
      <c r="E2" s="23"/>
      <c r="F2" s="24"/>
      <c r="G2" s="44"/>
      <c r="H2" s="51"/>
      <c r="I2" s="24"/>
      <c r="J2" s="39"/>
      <c r="K2" s="23"/>
      <c r="L2" s="23"/>
    </row>
    <row r="3" spans="1:20" s="27" customFormat="1" ht="17.850000000000001" customHeight="1">
      <c r="A3" s="21"/>
      <c r="B3" s="26"/>
      <c r="C3" s="26"/>
      <c r="F3" s="28"/>
      <c r="G3" s="45"/>
      <c r="H3" s="52"/>
      <c r="I3" s="28"/>
      <c r="J3" s="40"/>
    </row>
    <row r="4" spans="1:20" s="31" customFormat="1" ht="17.850000000000001" customHeight="1">
      <c r="A4" s="87" t="s">
        <v>55</v>
      </c>
      <c r="B4" s="88"/>
      <c r="C4" s="66"/>
      <c r="D4" s="29"/>
      <c r="E4" s="29"/>
      <c r="F4" s="30"/>
      <c r="G4" s="46"/>
      <c r="H4" s="53"/>
      <c r="I4" s="30"/>
      <c r="J4" s="41"/>
      <c r="K4" s="29"/>
      <c r="L4" s="29"/>
    </row>
    <row r="5" spans="1:20" s="31" customFormat="1" ht="17.850000000000001" customHeight="1">
      <c r="A5" s="33" t="s">
        <v>827</v>
      </c>
      <c r="B5" s="34">
        <f>Data!B3</f>
        <v>45678</v>
      </c>
      <c r="C5" s="67"/>
      <c r="D5" s="29"/>
      <c r="E5" s="29"/>
      <c r="F5" s="30"/>
      <c r="G5" s="46"/>
      <c r="H5" s="53"/>
      <c r="I5" s="30"/>
      <c r="J5" s="41"/>
      <c r="K5" s="29"/>
      <c r="L5" s="29"/>
    </row>
    <row r="6" spans="1:20" s="31" customFormat="1" ht="17.850000000000001" customHeight="1">
      <c r="A6" s="33" t="s">
        <v>828</v>
      </c>
      <c r="B6" s="34">
        <f>Data!B4</f>
        <v>46074.999988425923</v>
      </c>
      <c r="C6" s="67"/>
      <c r="D6" s="29"/>
      <c r="E6" s="29"/>
      <c r="F6" s="32"/>
      <c r="G6" s="46"/>
      <c r="H6" s="53"/>
      <c r="I6" s="32"/>
      <c r="J6" s="42"/>
      <c r="K6" s="29"/>
      <c r="L6" s="29"/>
    </row>
    <row r="7" spans="1:20" s="31" customFormat="1" ht="17.850000000000001" customHeight="1">
      <c r="A7" s="33" t="s">
        <v>829</v>
      </c>
      <c r="B7" s="35">
        <f>B6-B5+1</f>
        <v>397.99998842592322</v>
      </c>
      <c r="C7" s="68"/>
      <c r="D7" s="29"/>
      <c r="E7" s="29"/>
      <c r="F7" s="32"/>
      <c r="G7" s="46"/>
      <c r="H7" s="53"/>
      <c r="I7" s="32"/>
      <c r="J7" s="42"/>
      <c r="K7" s="29"/>
      <c r="L7" s="29"/>
    </row>
    <row r="8" spans="1:20" s="10" customFormat="1" ht="17.850000000000001" customHeight="1">
      <c r="G8" s="47"/>
      <c r="H8" s="54"/>
      <c r="J8" s="16"/>
      <c r="L8" s="16"/>
    </row>
    <row r="9" spans="1:20" s="36" customFormat="1" ht="18" customHeight="1">
      <c r="A9" s="36" t="s">
        <v>830</v>
      </c>
      <c r="B9" s="36" t="s">
        <v>831</v>
      </c>
      <c r="C9" s="36" t="s">
        <v>450</v>
      </c>
      <c r="D9" s="36" t="s">
        <v>55</v>
      </c>
      <c r="E9" s="36" t="s">
        <v>138</v>
      </c>
      <c r="F9" s="36" t="s">
        <v>76</v>
      </c>
      <c r="G9" s="48" t="s">
        <v>833</v>
      </c>
      <c r="H9" s="55" t="s">
        <v>834</v>
      </c>
      <c r="I9" s="36" t="s">
        <v>832</v>
      </c>
      <c r="J9" s="37" t="s">
        <v>835</v>
      </c>
      <c r="K9" s="36" t="s">
        <v>91</v>
      </c>
      <c r="L9" s="37" t="s">
        <v>836</v>
      </c>
      <c r="M9" s="36" t="s">
        <v>99</v>
      </c>
      <c r="N9" s="36" t="s">
        <v>100</v>
      </c>
      <c r="O9" s="36" t="s">
        <v>4</v>
      </c>
      <c r="P9" s="36" t="s">
        <v>837</v>
      </c>
      <c r="Q9" s="73" t="s">
        <v>838</v>
      </c>
      <c r="R9" s="73" t="s">
        <v>839</v>
      </c>
      <c r="S9" s="73" t="s">
        <v>840</v>
      </c>
      <c r="T9" s="36" t="s">
        <v>841</v>
      </c>
    </row>
    <row r="10" spans="1:20" ht="16.5">
      <c r="A10" s="12" t="str">
        <f>Data!A9</f>
        <v>Demo - 19</v>
      </c>
      <c r="B10" s="12" t="str">
        <f>Data!B9</f>
        <v>Vehicle, Company Group</v>
      </c>
      <c r="C10" s="12" t="str">
        <f>Data!D9</f>
        <v>b13</v>
      </c>
      <c r="D10" s="13">
        <f>Data!E9</f>
        <v>46053.573287037034</v>
      </c>
      <c r="E10" s="56">
        <f t="shared" ref="E10:E73" si="0">IF(L10=FALSE,1,0)</f>
        <v>0</v>
      </c>
      <c r="F10" s="12" t="str">
        <f>Data!F9</f>
        <v>Low priority warning light is on</v>
      </c>
      <c r="G10" s="14" t="str">
        <f>Data!A9&amp;" "&amp;Data!F9</f>
        <v>Demo - 19 Low priority warning light is on</v>
      </c>
      <c r="H10" s="56">
        <f>IF(COUNTIF($G$10:G10,G10)&gt;1,0,1)</f>
        <v>1</v>
      </c>
      <c r="I10" s="12" t="str">
        <f>IF(L10=FALSE,Data!J9," ")</f>
        <v xml:space="preserve"> </v>
      </c>
      <c r="J10" s="15" t="b">
        <f t="shared" ref="J10:J73" si="1">ISNUMBER(SEARCH("active",I10))</f>
        <v>0</v>
      </c>
      <c r="K10" s="12" t="str">
        <f>Data!H9</f>
        <v>Telematics Device</v>
      </c>
      <c r="L10" s="15" t="b">
        <f t="shared" ref="L10:L73" si="2">OR(ISNUMBER(SEARCH("telematics",M10)),ISNUMBER(SEARCH("device",M10)))</f>
        <v>1</v>
      </c>
      <c r="M10" s="14" t="str">
        <f>Data!I9</f>
        <v>Telematics device</v>
      </c>
      <c r="N10" s="15" t="str">
        <f>Data!G9</f>
        <v>175</v>
      </c>
      <c r="O10" s="15" t="b">
        <f t="shared" ref="O10:O73" si="3">IF(ISBLANK(A10)=TRUE,FALSE,TRUE)</f>
        <v>1</v>
      </c>
      <c r="P10" s="12" t="str">
        <f>IF(Data!K9=FALSE(),"", Data!K9)</f>
        <v/>
      </c>
      <c r="Q10" s="12" t="str">
        <f>IF(Data!L9=FALSE(),"", Data!L9)</f>
        <v/>
      </c>
      <c r="R10" s="12" t="str">
        <f>IF(Data!M9=FALSE(),"", Data!M9)</f>
        <v/>
      </c>
      <c r="S10" s="12" t="str">
        <f>IF(Data!N9=FALSE(),"", Data!N9)</f>
        <v/>
      </c>
    </row>
    <row r="11" spans="1:20" ht="16.5">
      <c r="A11" s="12" t="str">
        <f>Data!A10</f>
        <v>Demo - 19</v>
      </c>
      <c r="B11" s="12" t="str">
        <f>Data!B10</f>
        <v>Vehicle, Company Group</v>
      </c>
      <c r="C11" s="12" t="str">
        <f>Data!D10</f>
        <v>b13</v>
      </c>
      <c r="D11" s="13">
        <f>Data!E10</f>
        <v>46063.836030092592</v>
      </c>
      <c r="E11" s="56">
        <f t="shared" si="0"/>
        <v>0</v>
      </c>
      <c r="F11" s="12" t="str">
        <f>Data!F10</f>
        <v>Low priority warning light is on</v>
      </c>
      <c r="G11" s="14" t="str">
        <f>Data!A10&amp;" "&amp;Data!F10</f>
        <v>Demo - 19 Low priority warning light is on</v>
      </c>
      <c r="H11" s="56">
        <f>IF(COUNTIF($G$10:G11,G11)&gt;1,0,1)</f>
        <v>0</v>
      </c>
      <c r="I11" s="12" t="str">
        <f>IF(L11=FALSE,Data!J10," ")</f>
        <v xml:space="preserve"> </v>
      </c>
      <c r="J11" s="15" t="b">
        <f t="shared" si="1"/>
        <v>0</v>
      </c>
      <c r="K11" s="12" t="str">
        <f>Data!H10</f>
        <v>Telematics Device</v>
      </c>
      <c r="L11" s="15" t="b">
        <f t="shared" si="2"/>
        <v>1</v>
      </c>
      <c r="M11" s="14" t="str">
        <f>Data!I10</f>
        <v>Telematics device</v>
      </c>
      <c r="N11" s="15" t="str">
        <f>Data!G10</f>
        <v>175</v>
      </c>
      <c r="O11" s="15" t="b">
        <f t="shared" si="3"/>
        <v>1</v>
      </c>
      <c r="P11" s="12" t="str">
        <f>IF(Data!K10=FALSE(),"", Data!K10)</f>
        <v/>
      </c>
      <c r="Q11" s="12" t="str">
        <f>IF(Data!L10=FALSE(),"", Data!L10)</f>
        <v/>
      </c>
      <c r="R11" s="12" t="str">
        <f>IF(Data!M10=FALSE(),"", Data!M10)</f>
        <v/>
      </c>
      <c r="S11" s="12" t="str">
        <f>IF(Data!N10=FALSE(),"", Data!N10)</f>
        <v/>
      </c>
    </row>
    <row r="12" spans="1:20" ht="16.5">
      <c r="A12" s="12" t="str">
        <f>Data!A11</f>
        <v>Demo - 19</v>
      </c>
      <c r="B12" s="12" t="str">
        <f>Data!B11</f>
        <v>Vehicle, Company Group</v>
      </c>
      <c r="C12" s="12" t="str">
        <f>Data!D11</f>
        <v>b13</v>
      </c>
      <c r="D12" s="13">
        <f>Data!E11</f>
        <v>46071.83734953704</v>
      </c>
      <c r="E12" s="56">
        <f t="shared" si="0"/>
        <v>0</v>
      </c>
      <c r="F12" s="12" t="str">
        <f>Data!F11</f>
        <v>Low priority warning light is on</v>
      </c>
      <c r="G12" s="14" t="str">
        <f>Data!A11&amp;" "&amp;Data!F11</f>
        <v>Demo - 19 Low priority warning light is on</v>
      </c>
      <c r="H12" s="56">
        <f>IF(COUNTIF($G$10:G12,G12)&gt;1,0,1)</f>
        <v>0</v>
      </c>
      <c r="I12" s="12" t="str">
        <f>IF(L12=FALSE,Data!J11," ")</f>
        <v xml:space="preserve"> </v>
      </c>
      <c r="J12" s="15" t="b">
        <f t="shared" si="1"/>
        <v>0</v>
      </c>
      <c r="K12" s="12" t="str">
        <f>Data!H11</f>
        <v>Telematics Device</v>
      </c>
      <c r="L12" s="15" t="b">
        <f t="shared" si="2"/>
        <v>1</v>
      </c>
      <c r="M12" s="14" t="str">
        <f>Data!I11</f>
        <v>Telematics device</v>
      </c>
      <c r="N12" s="15" t="str">
        <f>Data!G11</f>
        <v>175</v>
      </c>
      <c r="O12" s="15" t="b">
        <f t="shared" si="3"/>
        <v>1</v>
      </c>
      <c r="P12" s="12" t="str">
        <f>IF(Data!K11=FALSE(),"", Data!K11)</f>
        <v/>
      </c>
      <c r="Q12" s="12" t="str">
        <f>IF(Data!L11=FALSE(),"", Data!L11)</f>
        <v/>
      </c>
      <c r="R12" s="12" t="str">
        <f>IF(Data!M11=FALSE(),"", Data!M11)</f>
        <v/>
      </c>
      <c r="S12" s="12" t="str">
        <f>IF(Data!N11=FALSE(),"", Data!N11)</f>
        <v/>
      </c>
    </row>
    <row r="13" spans="1:20" ht="16.5">
      <c r="A13" s="12" t="str">
        <f>Data!A12</f>
        <v>Demo - 19</v>
      </c>
      <c r="B13" s="12" t="str">
        <f>Data!B12</f>
        <v>Vehicle, Company Group</v>
      </c>
      <c r="C13" s="12" t="str">
        <f>Data!D12</f>
        <v>b13</v>
      </c>
      <c r="D13" s="13">
        <f>Data!E12</f>
        <v>46072.862476851849</v>
      </c>
      <c r="E13" s="56">
        <f t="shared" si="0"/>
        <v>0</v>
      </c>
      <c r="F13" s="12" t="str">
        <f>Data!F12</f>
        <v>Low priority warning light is on</v>
      </c>
      <c r="G13" s="14" t="str">
        <f>Data!A12&amp;" "&amp;Data!F12</f>
        <v>Demo - 19 Low priority warning light is on</v>
      </c>
      <c r="H13" s="56">
        <f>IF(COUNTIF($G$10:G13,G13)&gt;1,0,1)</f>
        <v>0</v>
      </c>
      <c r="I13" s="12" t="str">
        <f>IF(L13=FALSE,Data!J12," ")</f>
        <v xml:space="preserve"> </v>
      </c>
      <c r="J13" s="15" t="b">
        <f t="shared" si="1"/>
        <v>0</v>
      </c>
      <c r="K13" s="12" t="str">
        <f>Data!H12</f>
        <v>Telematics Device</v>
      </c>
      <c r="L13" s="15" t="b">
        <f t="shared" si="2"/>
        <v>1</v>
      </c>
      <c r="M13" s="14" t="str">
        <f>Data!I12</f>
        <v>Telematics device</v>
      </c>
      <c r="N13" s="15" t="str">
        <f>Data!G12</f>
        <v>175</v>
      </c>
      <c r="O13" s="15" t="b">
        <f t="shared" si="3"/>
        <v>1</v>
      </c>
      <c r="P13" s="12" t="str">
        <f>IF(Data!K12=FALSE(),"", Data!K12)</f>
        <v/>
      </c>
      <c r="Q13" s="12" t="str">
        <f>IF(Data!L12=FALSE(),"", Data!L12)</f>
        <v/>
      </c>
      <c r="R13" s="12" t="str">
        <f>IF(Data!M12=FALSE(),"", Data!M12)</f>
        <v/>
      </c>
      <c r="S13" s="12" t="str">
        <f>IF(Data!N12=FALSE(),"", Data!N12)</f>
        <v/>
      </c>
    </row>
    <row r="14" spans="1:20" ht="16.5">
      <c r="A14" s="12" t="str">
        <f>Data!A13</f>
        <v>Demo - 20</v>
      </c>
      <c r="B14" s="12" t="str">
        <f>Data!B13</f>
        <v>Vehicle, Company Group</v>
      </c>
      <c r="C14" s="12" t="str">
        <f>Data!D13</f>
        <v>b14</v>
      </c>
      <c r="D14" s="13">
        <f>Data!E13</f>
        <v>46058.395581597222</v>
      </c>
      <c r="E14" s="56">
        <f t="shared" si="0"/>
        <v>0</v>
      </c>
      <c r="F14" s="12" t="str">
        <f>Data!F13</f>
        <v>Low priority warning light is on</v>
      </c>
      <c r="G14" s="14" t="str">
        <f>Data!A13&amp;" "&amp;Data!F13</f>
        <v>Demo - 20 Low priority warning light is on</v>
      </c>
      <c r="H14" s="56">
        <f>IF(COUNTIF($G$10:G14,G14)&gt;1,0,1)</f>
        <v>1</v>
      </c>
      <c r="I14" s="12" t="str">
        <f>IF(L14=FALSE,Data!J13," ")</f>
        <v xml:space="preserve"> </v>
      </c>
      <c r="J14" s="15" t="b">
        <f t="shared" si="1"/>
        <v>0</v>
      </c>
      <c r="K14" s="12" t="str">
        <f>Data!H13</f>
        <v>Telematics Device</v>
      </c>
      <c r="L14" s="15" t="b">
        <f t="shared" si="2"/>
        <v>1</v>
      </c>
      <c r="M14" s="14" t="str">
        <f>Data!I13</f>
        <v>Telematics device</v>
      </c>
      <c r="N14" s="15" t="str">
        <f>Data!G13</f>
        <v>175</v>
      </c>
      <c r="O14" s="15" t="b">
        <f t="shared" si="3"/>
        <v>1</v>
      </c>
      <c r="P14" s="12" t="str">
        <f>IF(Data!K13=FALSE(),"", Data!K13)</f>
        <v/>
      </c>
      <c r="Q14" s="12" t="str">
        <f>IF(Data!L13=FALSE(),"", Data!L13)</f>
        <v/>
      </c>
      <c r="R14" s="12" t="str">
        <f>IF(Data!M13=FALSE(),"", Data!M13)</f>
        <v/>
      </c>
      <c r="S14" s="12" t="str">
        <f>IF(Data!N13=FALSE(),"", Data!N13)</f>
        <v/>
      </c>
    </row>
    <row r="15" spans="1:20" ht="16.5">
      <c r="A15" s="12" t="str">
        <f>Data!A14</f>
        <v>Demo - 20</v>
      </c>
      <c r="B15" s="12" t="str">
        <f>Data!B14</f>
        <v>Vehicle, Company Group</v>
      </c>
      <c r="C15" s="12" t="str">
        <f>Data!D14</f>
        <v>b14</v>
      </c>
      <c r="D15" s="13">
        <f>Data!E14</f>
        <v>46068.658324652781</v>
      </c>
      <c r="E15" s="56">
        <f t="shared" si="0"/>
        <v>0</v>
      </c>
      <c r="F15" s="12" t="str">
        <f>Data!F14</f>
        <v>Low priority warning light is on</v>
      </c>
      <c r="G15" s="14" t="str">
        <f>Data!A14&amp;" "&amp;Data!F14</f>
        <v>Demo - 20 Low priority warning light is on</v>
      </c>
      <c r="H15" s="56">
        <f>IF(COUNTIF($G$10:G15,G15)&gt;1,0,1)</f>
        <v>0</v>
      </c>
      <c r="I15" s="12" t="str">
        <f>IF(L15=FALSE,Data!J14," ")</f>
        <v xml:space="preserve"> </v>
      </c>
      <c r="J15" s="15" t="b">
        <f t="shared" si="1"/>
        <v>0</v>
      </c>
      <c r="K15" s="12" t="str">
        <f>Data!H14</f>
        <v>Telematics Device</v>
      </c>
      <c r="L15" s="15" t="b">
        <f t="shared" si="2"/>
        <v>1</v>
      </c>
      <c r="M15" s="14" t="str">
        <f>Data!I14</f>
        <v>Telematics device</v>
      </c>
      <c r="N15" s="15" t="str">
        <f>Data!G14</f>
        <v>175</v>
      </c>
      <c r="O15" s="15" t="b">
        <f t="shared" si="3"/>
        <v>1</v>
      </c>
      <c r="P15" s="12" t="str">
        <f>IF(Data!K14=FALSE(),"", Data!K14)</f>
        <v/>
      </c>
      <c r="Q15" s="12" t="str">
        <f>IF(Data!L14=FALSE(),"", Data!L14)</f>
        <v/>
      </c>
      <c r="R15" s="12" t="str">
        <f>IF(Data!M14=FALSE(),"", Data!M14)</f>
        <v/>
      </c>
      <c r="S15" s="12" t="str">
        <f>IF(Data!N14=FALSE(),"", Data!N14)</f>
        <v/>
      </c>
    </row>
    <row r="16" spans="1:20" ht="16.5">
      <c r="A16" s="12" t="str">
        <f>Data!A15</f>
        <v>Demo - 21</v>
      </c>
      <c r="B16" s="12" t="str">
        <f>Data!B15</f>
        <v>Vehicle, Company Group</v>
      </c>
      <c r="C16" s="12" t="str">
        <f>Data!D15</f>
        <v>b15</v>
      </c>
      <c r="D16" s="13">
        <f>Data!E15</f>
        <v>46063.217876157512</v>
      </c>
      <c r="E16" s="56">
        <f t="shared" si="0"/>
        <v>0</v>
      </c>
      <c r="F16" s="12" t="str">
        <f>Data!F15</f>
        <v>Low priority warning light is on</v>
      </c>
      <c r="G16" s="14" t="str">
        <f>Data!A15&amp;" "&amp;Data!F15</f>
        <v>Demo - 21 Low priority warning light is on</v>
      </c>
      <c r="H16" s="56">
        <f>IF(COUNTIF($G$10:G16,G16)&gt;1,0,1)</f>
        <v>1</v>
      </c>
      <c r="I16" s="12" t="str">
        <f>IF(L16=FALSE,Data!J15," ")</f>
        <v xml:space="preserve"> </v>
      </c>
      <c r="J16" s="15" t="b">
        <f t="shared" si="1"/>
        <v>0</v>
      </c>
      <c r="K16" s="12" t="str">
        <f>Data!H15</f>
        <v>Telematics Device</v>
      </c>
      <c r="L16" s="15" t="b">
        <f t="shared" si="2"/>
        <v>1</v>
      </c>
      <c r="M16" s="14" t="str">
        <f>Data!I15</f>
        <v>Telematics device</v>
      </c>
      <c r="N16" s="15" t="str">
        <f>Data!G15</f>
        <v>175</v>
      </c>
      <c r="O16" s="15" t="b">
        <f t="shared" si="3"/>
        <v>1</v>
      </c>
      <c r="P16" s="12" t="str">
        <f>IF(Data!K15=FALSE(),"", Data!K15)</f>
        <v/>
      </c>
      <c r="Q16" s="12" t="str">
        <f>IF(Data!L15=FALSE(),"", Data!L15)</f>
        <v/>
      </c>
      <c r="R16" s="12" t="str">
        <f>IF(Data!M15=FALSE(),"", Data!M15)</f>
        <v/>
      </c>
      <c r="S16" s="12" t="str">
        <f>IF(Data!N15=FALSE(),"", Data!N15)</f>
        <v/>
      </c>
    </row>
    <row r="17" spans="1:19" ht="16.5">
      <c r="A17" s="12" t="str">
        <f>Data!A16</f>
        <v>Demo - 21</v>
      </c>
      <c r="B17" s="12" t="str">
        <f>Data!B16</f>
        <v>Vehicle, Company Group</v>
      </c>
      <c r="C17" s="12" t="str">
        <f>Data!D16</f>
        <v>b15</v>
      </c>
      <c r="D17" s="13">
        <f>Data!E16</f>
        <v>46073.480619213064</v>
      </c>
      <c r="E17" s="56">
        <f t="shared" si="0"/>
        <v>0</v>
      </c>
      <c r="F17" s="12" t="str">
        <f>Data!F16</f>
        <v>Low priority warning light is on</v>
      </c>
      <c r="G17" s="14" t="str">
        <f>Data!A16&amp;" "&amp;Data!F16</f>
        <v>Demo - 21 Low priority warning light is on</v>
      </c>
      <c r="H17" s="56">
        <f>IF(COUNTIF($G$10:G17,G17)&gt;1,0,1)</f>
        <v>0</v>
      </c>
      <c r="I17" s="12" t="str">
        <f>IF(L17=FALSE,Data!J16," ")</f>
        <v xml:space="preserve"> </v>
      </c>
      <c r="J17" s="15" t="b">
        <f t="shared" si="1"/>
        <v>0</v>
      </c>
      <c r="K17" s="12" t="str">
        <f>Data!H16</f>
        <v>Telematics Device</v>
      </c>
      <c r="L17" s="15" t="b">
        <f t="shared" si="2"/>
        <v>1</v>
      </c>
      <c r="M17" s="14" t="str">
        <f>Data!I16</f>
        <v>Telematics device</v>
      </c>
      <c r="N17" s="15" t="str">
        <f>Data!G16</f>
        <v>175</v>
      </c>
      <c r="O17" s="15" t="b">
        <f t="shared" si="3"/>
        <v>1</v>
      </c>
      <c r="P17" s="12" t="str">
        <f>IF(Data!K16=FALSE(),"", Data!K16)</f>
        <v/>
      </c>
      <c r="Q17" s="12" t="str">
        <f>IF(Data!L16=FALSE(),"", Data!L16)</f>
        <v/>
      </c>
      <c r="R17" s="12" t="str">
        <f>IF(Data!M16=FALSE(),"", Data!M16)</f>
        <v/>
      </c>
      <c r="S17" s="12" t="str">
        <f>IF(Data!N16=FALSE(),"", Data!N16)</f>
        <v/>
      </c>
    </row>
    <row r="18" spans="1:19" ht="16.5">
      <c r="A18" s="12" t="str">
        <f>Data!A17</f>
        <v>Demo - 22</v>
      </c>
      <c r="B18" s="12" t="str">
        <f>Data!B17</f>
        <v>Vehicle, Company Group</v>
      </c>
      <c r="C18" s="12" t="str">
        <f>Data!D17</f>
        <v>b16</v>
      </c>
      <c r="D18" s="13">
        <f>Data!E17</f>
        <v>46068.040170717592</v>
      </c>
      <c r="E18" s="56">
        <f t="shared" si="0"/>
        <v>0</v>
      </c>
      <c r="F18" s="12" t="str">
        <f>Data!F17</f>
        <v>Low priority warning light is on</v>
      </c>
      <c r="G18" s="14" t="str">
        <f>Data!A17&amp;" "&amp;Data!F17</f>
        <v>Demo - 22 Low priority warning light is on</v>
      </c>
      <c r="H18" s="56">
        <f>IF(COUNTIF($G$10:G18,G18)&gt;1,0,1)</f>
        <v>1</v>
      </c>
      <c r="I18" s="12" t="str">
        <f>IF(L18=FALSE,Data!J17," ")</f>
        <v xml:space="preserve"> </v>
      </c>
      <c r="J18" s="15" t="b">
        <f t="shared" si="1"/>
        <v>0</v>
      </c>
      <c r="K18" s="12" t="str">
        <f>Data!H17</f>
        <v>Telematics Device</v>
      </c>
      <c r="L18" s="15" t="b">
        <f t="shared" si="2"/>
        <v>1</v>
      </c>
      <c r="M18" s="14" t="str">
        <f>Data!I17</f>
        <v>Telematics device</v>
      </c>
      <c r="N18" s="15" t="str">
        <f>Data!G17</f>
        <v>175</v>
      </c>
      <c r="O18" s="15" t="b">
        <f t="shared" si="3"/>
        <v>1</v>
      </c>
      <c r="P18" s="12" t="str">
        <f>IF(Data!K17=FALSE(),"", Data!K17)</f>
        <v/>
      </c>
      <c r="Q18" s="12" t="str">
        <f>IF(Data!L17=FALSE(),"", Data!L17)</f>
        <v/>
      </c>
      <c r="R18" s="12" t="str">
        <f>IF(Data!M17=FALSE(),"", Data!M17)</f>
        <v/>
      </c>
      <c r="S18" s="12" t="str">
        <f>IF(Data!N17=FALSE(),"", Data!N17)</f>
        <v/>
      </c>
    </row>
    <row r="19" spans="1:19" ht="16.5">
      <c r="A19" s="12" t="str">
        <f>Data!A18</f>
        <v>Demo - 23</v>
      </c>
      <c r="B19" s="12" t="str">
        <f>Data!B18</f>
        <v>Vehicle, Company Group</v>
      </c>
      <c r="C19" s="12" t="str">
        <f>Data!D18</f>
        <v>b17</v>
      </c>
      <c r="D19" s="13">
        <f>Data!E18</f>
        <v>46056.002453703702</v>
      </c>
      <c r="E19" s="56">
        <f t="shared" si="0"/>
        <v>0</v>
      </c>
      <c r="F19" s="12" t="str">
        <f>Data!F18</f>
        <v>Alert: Collision limit for acceleration exceeded</v>
      </c>
      <c r="G19" s="14" t="str">
        <f>Data!A18&amp;" "&amp;Data!F18</f>
        <v>Demo - 23 Alert: Collision limit for acceleration exceeded</v>
      </c>
      <c r="H19" s="56">
        <f>IF(COUNTIF($G$10:G19,G19)&gt;1,0,1)</f>
        <v>1</v>
      </c>
      <c r="I19" s="12" t="str">
        <f>IF(L19=FALSE,Data!J18," ")</f>
        <v xml:space="preserve"> </v>
      </c>
      <c r="J19" s="15" t="b">
        <f t="shared" si="1"/>
        <v>0</v>
      </c>
      <c r="K19" s="12" t="str">
        <f>Data!H18</f>
        <v>Telematics Device</v>
      </c>
      <c r="L19" s="15" t="b">
        <f t="shared" si="2"/>
        <v>1</v>
      </c>
      <c r="M19" s="14" t="str">
        <f>Data!I18</f>
        <v>Telematics device</v>
      </c>
      <c r="N19" s="15" t="str">
        <f>Data!G18</f>
        <v>166</v>
      </c>
      <c r="O19" s="15" t="b">
        <f t="shared" si="3"/>
        <v>1</v>
      </c>
      <c r="P19" s="12" t="str">
        <f>IF(Data!K18=FALSE(),"", Data!K18)</f>
        <v/>
      </c>
      <c r="Q19" s="12" t="str">
        <f>IF(Data!L18=FALSE(),"", Data!L18)</f>
        <v/>
      </c>
      <c r="R19" s="12" t="str">
        <f>IF(Data!M18=FALSE(),"", Data!M18)</f>
        <v/>
      </c>
      <c r="S19" s="12" t="str">
        <f>IF(Data!N18=FALSE(),"", Data!N18)</f>
        <v/>
      </c>
    </row>
    <row r="20" spans="1:19" ht="16.5">
      <c r="A20" s="12" t="str">
        <f>Data!A19</f>
        <v>Demo - 23</v>
      </c>
      <c r="B20" s="12" t="str">
        <f>Data!B19</f>
        <v>Vehicle, Company Group</v>
      </c>
      <c r="C20" s="12" t="str">
        <f>Data!D19</f>
        <v>b17</v>
      </c>
      <c r="D20" s="13">
        <f>Data!E19</f>
        <v>46074.415590277778</v>
      </c>
      <c r="E20" s="56">
        <f t="shared" si="0"/>
        <v>0</v>
      </c>
      <c r="F20" s="12" t="str">
        <f>Data!F19</f>
        <v>Alert: Collision limit for acceleration exceeded</v>
      </c>
      <c r="G20" s="14" t="str">
        <f>Data!A19&amp;" "&amp;Data!F19</f>
        <v>Demo - 23 Alert: Collision limit for acceleration exceeded</v>
      </c>
      <c r="H20" s="56">
        <f>IF(COUNTIF($G$10:G20,G20)&gt;1,0,1)</f>
        <v>0</v>
      </c>
      <c r="I20" s="12" t="str">
        <f>IF(L20=FALSE,Data!J19," ")</f>
        <v xml:space="preserve"> </v>
      </c>
      <c r="J20" s="15" t="b">
        <f t="shared" si="1"/>
        <v>0</v>
      </c>
      <c r="K20" s="12" t="str">
        <f>Data!H19</f>
        <v>Telematics Device</v>
      </c>
      <c r="L20" s="15" t="b">
        <f t="shared" si="2"/>
        <v>1</v>
      </c>
      <c r="M20" s="14" t="str">
        <f>Data!I19</f>
        <v>Telematics device</v>
      </c>
      <c r="N20" s="15" t="str">
        <f>Data!G19</f>
        <v>166</v>
      </c>
      <c r="O20" s="15" t="b">
        <f t="shared" si="3"/>
        <v>1</v>
      </c>
      <c r="P20" s="12" t="str">
        <f>IF(Data!K19=FALSE(),"", Data!K19)</f>
        <v/>
      </c>
      <c r="Q20" s="12" t="str">
        <f>IF(Data!L19=FALSE(),"", Data!L19)</f>
        <v/>
      </c>
      <c r="R20" s="12" t="str">
        <f>IF(Data!M19=FALSE(),"", Data!M19)</f>
        <v/>
      </c>
      <c r="S20" s="12" t="str">
        <f>IF(Data!N19=FALSE(),"", Data!N19)</f>
        <v/>
      </c>
    </row>
    <row r="21" spans="1:19" ht="16.5">
      <c r="A21" s="12" t="str">
        <f>Data!A20</f>
        <v>Demo - 24</v>
      </c>
      <c r="B21" s="12" t="str">
        <f>Data!B20</f>
        <v>Vehicle, Company Group</v>
      </c>
      <c r="C21" s="12" t="str">
        <f>Data!D20</f>
        <v>b18</v>
      </c>
      <c r="D21" s="13">
        <f>Data!E20</f>
        <v>46060.605734953802</v>
      </c>
      <c r="E21" s="56">
        <f t="shared" si="0"/>
        <v>0</v>
      </c>
      <c r="F21" s="12" t="str">
        <f>Data!F20</f>
        <v>Alert: Collision limit for acceleration exceeded</v>
      </c>
      <c r="G21" s="14" t="str">
        <f>Data!A20&amp;" "&amp;Data!F20</f>
        <v>Demo - 24 Alert: Collision limit for acceleration exceeded</v>
      </c>
      <c r="H21" s="56">
        <f>IF(COUNTIF($G$10:G21,G21)&gt;1,0,1)</f>
        <v>1</v>
      </c>
      <c r="I21" s="12" t="str">
        <f>IF(L21=FALSE,Data!J20," ")</f>
        <v xml:space="preserve"> </v>
      </c>
      <c r="J21" s="15" t="b">
        <f t="shared" si="1"/>
        <v>0</v>
      </c>
      <c r="K21" s="12" t="str">
        <f>Data!H20</f>
        <v>Telematics Device</v>
      </c>
      <c r="L21" s="15" t="b">
        <f t="shared" si="2"/>
        <v>1</v>
      </c>
      <c r="M21" s="14" t="str">
        <f>Data!I20</f>
        <v>Telematics device</v>
      </c>
      <c r="N21" s="15" t="str">
        <f>Data!G20</f>
        <v>166</v>
      </c>
      <c r="O21" s="15" t="b">
        <f t="shared" si="3"/>
        <v>1</v>
      </c>
      <c r="P21" s="12" t="str">
        <f>IF(Data!K20=FALSE(),"", Data!K20)</f>
        <v/>
      </c>
      <c r="Q21" s="12" t="str">
        <f>IF(Data!L20=FALSE(),"", Data!L20)</f>
        <v/>
      </c>
      <c r="R21" s="12" t="str">
        <f>IF(Data!M20=FALSE(),"", Data!M20)</f>
        <v/>
      </c>
      <c r="S21" s="12" t="str">
        <f>IF(Data!N20=FALSE(),"", Data!N20)</f>
        <v/>
      </c>
    </row>
    <row r="22" spans="1:19" ht="16.5">
      <c r="A22" s="12" t="str">
        <f>Data!A21</f>
        <v>Demo - 25</v>
      </c>
      <c r="B22" s="12" t="str">
        <f>Data!B21</f>
        <v>Vehicle, Company Group</v>
      </c>
      <c r="C22" s="12" t="str">
        <f>Data!D21</f>
        <v>b19</v>
      </c>
      <c r="D22" s="13">
        <f>Data!E21</f>
        <v>46065.209016203706</v>
      </c>
      <c r="E22" s="56">
        <f t="shared" si="0"/>
        <v>0</v>
      </c>
      <c r="F22" s="12" t="str">
        <f>Data!F21</f>
        <v>Alert: Collision limit for acceleration exceeded</v>
      </c>
      <c r="G22" s="14" t="str">
        <f>Data!A21&amp;" "&amp;Data!F21</f>
        <v>Demo - 25 Alert: Collision limit for acceleration exceeded</v>
      </c>
      <c r="H22" s="56">
        <f>IF(COUNTIF($G$10:G22,G22)&gt;1,0,1)</f>
        <v>1</v>
      </c>
      <c r="I22" s="12" t="str">
        <f>IF(L22=FALSE,Data!J21," ")</f>
        <v xml:space="preserve"> </v>
      </c>
      <c r="J22" s="15" t="b">
        <f t="shared" si="1"/>
        <v>0</v>
      </c>
      <c r="K22" s="12" t="str">
        <f>Data!H21</f>
        <v>Telematics Device</v>
      </c>
      <c r="L22" s="15" t="b">
        <f t="shared" si="2"/>
        <v>1</v>
      </c>
      <c r="M22" s="14" t="str">
        <f>Data!I21</f>
        <v>Telematics device</v>
      </c>
      <c r="N22" s="15" t="str">
        <f>Data!G21</f>
        <v>166</v>
      </c>
      <c r="O22" s="15" t="b">
        <f t="shared" si="3"/>
        <v>1</v>
      </c>
      <c r="P22" s="12" t="str">
        <f>IF(Data!K21=FALSE(),"", Data!K21)</f>
        <v/>
      </c>
      <c r="Q22" s="12" t="str">
        <f>IF(Data!L21=FALSE(),"", Data!L21)</f>
        <v/>
      </c>
      <c r="R22" s="12" t="str">
        <f>IF(Data!M21=FALSE(),"", Data!M21)</f>
        <v/>
      </c>
      <c r="S22" s="12" t="str">
        <f>IF(Data!N21=FALSE(),"", Data!N21)</f>
        <v/>
      </c>
    </row>
    <row r="23" spans="1:19" ht="16.5">
      <c r="A23" s="12" t="str">
        <f>Data!A22</f>
        <v>Demo - 26</v>
      </c>
      <c r="B23" s="12" t="str">
        <f>Data!B22</f>
        <v>Vehicle, Company Group</v>
      </c>
      <c r="C23" s="12" t="str">
        <f>Data!D22</f>
        <v>b1A</v>
      </c>
      <c r="D23" s="13">
        <f>Data!E22</f>
        <v>46069.812297453806</v>
      </c>
      <c r="E23" s="56">
        <f t="shared" si="0"/>
        <v>0</v>
      </c>
      <c r="F23" s="12" t="str">
        <f>Data!F22</f>
        <v>Alert: Collision limit for acceleration exceeded</v>
      </c>
      <c r="G23" s="14" t="str">
        <f>Data!A22&amp;" "&amp;Data!F22</f>
        <v>Demo - 26 Alert: Collision limit for acceleration exceeded</v>
      </c>
      <c r="H23" s="56">
        <f>IF(COUNTIF($G$10:G23,G23)&gt;1,0,1)</f>
        <v>1</v>
      </c>
      <c r="I23" s="12" t="str">
        <f>IF(L23=FALSE,Data!J22," ")</f>
        <v xml:space="preserve"> </v>
      </c>
      <c r="J23" s="15" t="b">
        <f t="shared" si="1"/>
        <v>0</v>
      </c>
      <c r="K23" s="12" t="str">
        <f>Data!H22</f>
        <v>Telematics Device</v>
      </c>
      <c r="L23" s="15" t="b">
        <f t="shared" si="2"/>
        <v>1</v>
      </c>
      <c r="M23" s="14" t="str">
        <f>Data!I22</f>
        <v>Telematics device</v>
      </c>
      <c r="N23" s="15" t="str">
        <f>Data!G22</f>
        <v>166</v>
      </c>
      <c r="O23" s="15" t="b">
        <f t="shared" si="3"/>
        <v>1</v>
      </c>
      <c r="P23" s="12" t="str">
        <f>IF(Data!K22=FALSE(),"", Data!K22)</f>
        <v/>
      </c>
      <c r="Q23" s="12" t="str">
        <f>IF(Data!L22=FALSE(),"", Data!L22)</f>
        <v/>
      </c>
      <c r="R23" s="12" t="str">
        <f>IF(Data!M22=FALSE(),"", Data!M22)</f>
        <v/>
      </c>
      <c r="S23" s="12" t="str">
        <f>IF(Data!N22=FALSE(),"", Data!N22)</f>
        <v/>
      </c>
    </row>
    <row r="24" spans="1:19" ht="16.5">
      <c r="A24" s="12" t="str">
        <f>Data!A23</f>
        <v>Demo - 31</v>
      </c>
      <c r="B24" s="12" t="str">
        <f>Data!B23</f>
        <v>Vehicle, Company Group</v>
      </c>
      <c r="C24" s="12" t="str">
        <f>Data!D23</f>
        <v>b1F</v>
      </c>
      <c r="D24" s="13">
        <f>Data!E23</f>
        <v>46058.985752314817</v>
      </c>
      <c r="E24" s="56">
        <f t="shared" si="0"/>
        <v>0</v>
      </c>
      <c r="F24" s="12" t="str">
        <f>Data!F23</f>
        <v>Low priority warning light is on</v>
      </c>
      <c r="G24" s="14" t="str">
        <f>Data!A23&amp;" "&amp;Data!F23</f>
        <v>Demo - 31 Low priority warning light is on</v>
      </c>
      <c r="H24" s="56">
        <f>IF(COUNTIF($G$10:G24,G24)&gt;1,0,1)</f>
        <v>1</v>
      </c>
      <c r="I24" s="12" t="str">
        <f>IF(L24=FALSE,Data!J23," ")</f>
        <v xml:space="preserve"> </v>
      </c>
      <c r="J24" s="15" t="b">
        <f t="shared" si="1"/>
        <v>0</v>
      </c>
      <c r="K24" s="12" t="str">
        <f>Data!H23</f>
        <v>Telematics Device</v>
      </c>
      <c r="L24" s="15" t="b">
        <f t="shared" si="2"/>
        <v>1</v>
      </c>
      <c r="M24" s="14" t="str">
        <f>Data!I23</f>
        <v>Telematics device</v>
      </c>
      <c r="N24" s="15" t="str">
        <f>Data!G23</f>
        <v>175</v>
      </c>
      <c r="O24" s="15" t="b">
        <f t="shared" si="3"/>
        <v>1</v>
      </c>
      <c r="P24" s="12" t="str">
        <f>IF(Data!K23=FALSE(),"", Data!K23)</f>
        <v/>
      </c>
      <c r="Q24" s="12" t="str">
        <f>IF(Data!L23=FALSE(),"", Data!L23)</f>
        <v/>
      </c>
      <c r="R24" s="12" t="str">
        <f>IF(Data!M23=FALSE(),"", Data!M23)</f>
        <v/>
      </c>
      <c r="S24" s="12" t="str">
        <f>IF(Data!N23=FALSE(),"", Data!N23)</f>
        <v/>
      </c>
    </row>
    <row r="25" spans="1:19" ht="16.5">
      <c r="A25" s="12" t="str">
        <f>Data!A24</f>
        <v>Demo - 31</v>
      </c>
      <c r="B25" s="12" t="str">
        <f>Data!B24</f>
        <v>Vehicle, Company Group</v>
      </c>
      <c r="C25" s="12" t="str">
        <f>Data!D24</f>
        <v>b1F</v>
      </c>
      <c r="D25" s="13">
        <f>Data!E24</f>
        <v>46065.832118055558</v>
      </c>
      <c r="E25" s="56">
        <f t="shared" si="0"/>
        <v>0</v>
      </c>
      <c r="F25" s="12" t="str">
        <f>Data!F24</f>
        <v>Low priority warning light is on</v>
      </c>
      <c r="G25" s="14" t="str">
        <f>Data!A24&amp;" "&amp;Data!F24</f>
        <v>Demo - 31 Low priority warning light is on</v>
      </c>
      <c r="H25" s="56">
        <f>IF(COUNTIF($G$10:G25,G25)&gt;1,0,1)</f>
        <v>0</v>
      </c>
      <c r="I25" s="12" t="str">
        <f>IF(L25=FALSE,Data!J24," ")</f>
        <v xml:space="preserve"> </v>
      </c>
      <c r="J25" s="15" t="b">
        <f t="shared" si="1"/>
        <v>0</v>
      </c>
      <c r="K25" s="12" t="str">
        <f>Data!H24</f>
        <v>Telematics Device</v>
      </c>
      <c r="L25" s="15" t="b">
        <f t="shared" si="2"/>
        <v>1</v>
      </c>
      <c r="M25" s="14" t="str">
        <f>Data!I24</f>
        <v>Telematics device</v>
      </c>
      <c r="N25" s="15" t="str">
        <f>Data!G24</f>
        <v>175</v>
      </c>
      <c r="O25" s="15" t="b">
        <f t="shared" si="3"/>
        <v>1</v>
      </c>
      <c r="P25" s="12" t="str">
        <f>IF(Data!K24=FALSE(),"", Data!K24)</f>
        <v/>
      </c>
      <c r="Q25" s="12" t="str">
        <f>IF(Data!L24=FALSE(),"", Data!L24)</f>
        <v/>
      </c>
      <c r="R25" s="12" t="str">
        <f>IF(Data!M24=FALSE(),"", Data!M24)</f>
        <v/>
      </c>
      <c r="S25" s="12" t="str">
        <f>IF(Data!N24=FALSE(),"", Data!N24)</f>
        <v/>
      </c>
    </row>
    <row r="26" spans="1:19" ht="16.5">
      <c r="A26" s="12" t="str">
        <f>Data!A25</f>
        <v>Demo - 32</v>
      </c>
      <c r="B26" s="12" t="str">
        <f>Data!B25</f>
        <v>Vehicle, Company Group</v>
      </c>
      <c r="C26" s="12" t="str">
        <f>Data!D25</f>
        <v>b20</v>
      </c>
      <c r="D26" s="13">
        <f>Data!E25</f>
        <v>46063.496504629627</v>
      </c>
      <c r="E26" s="56">
        <f t="shared" si="0"/>
        <v>0</v>
      </c>
      <c r="F26" s="12" t="str">
        <f>Data!F25</f>
        <v>Low priority warning light is on</v>
      </c>
      <c r="G26" s="14" t="str">
        <f>Data!A25&amp;" "&amp;Data!F25</f>
        <v>Demo - 32 Low priority warning light is on</v>
      </c>
      <c r="H26" s="56">
        <f>IF(COUNTIF($G$10:G26,G26)&gt;1,0,1)</f>
        <v>1</v>
      </c>
      <c r="I26" s="12" t="str">
        <f>IF(L26=FALSE,Data!J25," ")</f>
        <v xml:space="preserve"> </v>
      </c>
      <c r="J26" s="15" t="b">
        <f t="shared" si="1"/>
        <v>0</v>
      </c>
      <c r="K26" s="12" t="str">
        <f>Data!H25</f>
        <v>Telematics Device</v>
      </c>
      <c r="L26" s="15" t="b">
        <f t="shared" si="2"/>
        <v>1</v>
      </c>
      <c r="M26" s="14" t="str">
        <f>Data!I25</f>
        <v>Telematics device</v>
      </c>
      <c r="N26" s="15" t="str">
        <f>Data!G25</f>
        <v>175</v>
      </c>
      <c r="O26" s="15" t="b">
        <f t="shared" si="3"/>
        <v>1</v>
      </c>
      <c r="P26" s="12" t="str">
        <f>IF(Data!K25=FALSE(),"", Data!K25)</f>
        <v/>
      </c>
      <c r="Q26" s="12" t="str">
        <f>IF(Data!L25=FALSE(),"", Data!L25)</f>
        <v/>
      </c>
      <c r="R26" s="12" t="str">
        <f>IF(Data!M25=FALSE(),"", Data!M25)</f>
        <v/>
      </c>
      <c r="S26" s="12" t="str">
        <f>IF(Data!N25=FALSE(),"", Data!N25)</f>
        <v/>
      </c>
    </row>
    <row r="27" spans="1:19" ht="16.5">
      <c r="A27" s="12" t="str">
        <f>Data!A26</f>
        <v>Demo - 32</v>
      </c>
      <c r="B27" s="12" t="str">
        <f>Data!B26</f>
        <v>Vehicle, Company Group</v>
      </c>
      <c r="C27" s="12" t="str">
        <f>Data!D26</f>
        <v>b20</v>
      </c>
      <c r="D27" s="13">
        <f>Data!E26</f>
        <v>46070.342870370368</v>
      </c>
      <c r="E27" s="56">
        <f t="shared" si="0"/>
        <v>0</v>
      </c>
      <c r="F27" s="12" t="str">
        <f>Data!F26</f>
        <v>Low priority warning light is on</v>
      </c>
      <c r="G27" s="14" t="str">
        <f>Data!A26&amp;" "&amp;Data!F26</f>
        <v>Demo - 32 Low priority warning light is on</v>
      </c>
      <c r="H27" s="56">
        <f>IF(COUNTIF($G$10:G27,G27)&gt;1,0,1)</f>
        <v>0</v>
      </c>
      <c r="I27" s="12" t="str">
        <f>IF(L27=FALSE,Data!J26," ")</f>
        <v xml:space="preserve"> </v>
      </c>
      <c r="J27" s="15" t="b">
        <f t="shared" si="1"/>
        <v>0</v>
      </c>
      <c r="K27" s="12" t="str">
        <f>Data!H26</f>
        <v>Telematics Device</v>
      </c>
      <c r="L27" s="15" t="b">
        <f t="shared" si="2"/>
        <v>1</v>
      </c>
      <c r="M27" s="14" t="str">
        <f>Data!I26</f>
        <v>Telematics device</v>
      </c>
      <c r="N27" s="15" t="str">
        <f>Data!G26</f>
        <v>175</v>
      </c>
      <c r="O27" s="15" t="b">
        <f t="shared" si="3"/>
        <v>1</v>
      </c>
      <c r="P27" s="12" t="str">
        <f>IF(Data!K26=FALSE(),"", Data!K26)</f>
        <v/>
      </c>
      <c r="Q27" s="12" t="str">
        <f>IF(Data!L26=FALSE(),"", Data!L26)</f>
        <v/>
      </c>
      <c r="R27" s="12" t="str">
        <f>IF(Data!M26=FALSE(),"", Data!M26)</f>
        <v/>
      </c>
      <c r="S27" s="12" t="str">
        <f>IF(Data!N26=FALSE(),"", Data!N26)</f>
        <v/>
      </c>
    </row>
    <row r="28" spans="1:19" ht="16.5">
      <c r="A28" s="12" t="str">
        <f>Data!A27</f>
        <v>Demo - 33</v>
      </c>
      <c r="B28" s="12" t="str">
        <f>Data!B27</f>
        <v>Vehicle, Company Group</v>
      </c>
      <c r="C28" s="12" t="str">
        <f>Data!D27</f>
        <v>b21</v>
      </c>
      <c r="D28" s="13">
        <f>Data!E27</f>
        <v>46068.007256944446</v>
      </c>
      <c r="E28" s="56">
        <f t="shared" si="0"/>
        <v>0</v>
      </c>
      <c r="F28" s="12" t="str">
        <f>Data!F27</f>
        <v>Low priority warning light is on</v>
      </c>
      <c r="G28" s="14" t="str">
        <f>Data!A27&amp;" "&amp;Data!F27</f>
        <v>Demo - 33 Low priority warning light is on</v>
      </c>
      <c r="H28" s="56">
        <f>IF(COUNTIF($G$10:G28,G28)&gt;1,0,1)</f>
        <v>1</v>
      </c>
      <c r="I28" s="12" t="str">
        <f>IF(L28=FALSE,Data!J27," ")</f>
        <v xml:space="preserve"> </v>
      </c>
      <c r="J28" s="15" t="b">
        <f t="shared" si="1"/>
        <v>0</v>
      </c>
      <c r="K28" s="12" t="str">
        <f>Data!H27</f>
        <v>Telematics Device</v>
      </c>
      <c r="L28" s="15" t="b">
        <f t="shared" si="2"/>
        <v>1</v>
      </c>
      <c r="M28" s="14" t="str">
        <f>Data!I27</f>
        <v>Telematics device</v>
      </c>
      <c r="N28" s="15" t="str">
        <f>Data!G27</f>
        <v>175</v>
      </c>
      <c r="O28" s="15" t="b">
        <f t="shared" si="3"/>
        <v>1</v>
      </c>
      <c r="P28" s="12" t="str">
        <f>IF(Data!K27=FALSE(),"", Data!K27)</f>
        <v/>
      </c>
      <c r="Q28" s="12" t="str">
        <f>IF(Data!L27=FALSE(),"", Data!L27)</f>
        <v/>
      </c>
      <c r="R28" s="12" t="str">
        <f>IF(Data!M27=FALSE(),"", Data!M27)</f>
        <v/>
      </c>
      <c r="S28" s="12" t="str">
        <f>IF(Data!N27=FALSE(),"", Data!N27)</f>
        <v/>
      </c>
    </row>
    <row r="29" spans="1:19" ht="16.5">
      <c r="A29" s="12" t="str">
        <f>Data!A28</f>
        <v>Demo - 34</v>
      </c>
      <c r="B29" s="12" t="str">
        <f>Data!B28</f>
        <v>Vehicle, Company Group</v>
      </c>
      <c r="C29" s="12" t="str">
        <f>Data!D28</f>
        <v>b22</v>
      </c>
      <c r="D29" s="13">
        <f>Data!E28</f>
        <v>46072.518009259256</v>
      </c>
      <c r="E29" s="56">
        <f t="shared" si="0"/>
        <v>0</v>
      </c>
      <c r="F29" s="12" t="str">
        <f>Data!F28</f>
        <v>Low priority warning light is on</v>
      </c>
      <c r="G29" s="14" t="str">
        <f>Data!A28&amp;" "&amp;Data!F28</f>
        <v>Demo - 34 Low priority warning light is on</v>
      </c>
      <c r="H29" s="56">
        <f>IF(COUNTIF($G$10:G29,G29)&gt;1,0,1)</f>
        <v>1</v>
      </c>
      <c r="I29" s="12" t="str">
        <f>IF(L29=FALSE,Data!J28," ")</f>
        <v xml:space="preserve"> </v>
      </c>
      <c r="J29" s="15" t="b">
        <f t="shared" si="1"/>
        <v>0</v>
      </c>
      <c r="K29" s="12" t="str">
        <f>Data!H28</f>
        <v>Telematics Device</v>
      </c>
      <c r="L29" s="15" t="b">
        <f t="shared" si="2"/>
        <v>1</v>
      </c>
      <c r="M29" s="14" t="str">
        <f>Data!I28</f>
        <v>Telematics device</v>
      </c>
      <c r="N29" s="15" t="str">
        <f>Data!G28</f>
        <v>175</v>
      </c>
      <c r="O29" s="15" t="b">
        <f t="shared" si="3"/>
        <v>1</v>
      </c>
      <c r="P29" s="12" t="str">
        <f>IF(Data!K28=FALSE(),"", Data!K28)</f>
        <v/>
      </c>
      <c r="Q29" s="12" t="str">
        <f>IF(Data!L28=FALSE(),"", Data!L28)</f>
        <v/>
      </c>
      <c r="R29" s="12" t="str">
        <f>IF(Data!M28=FALSE(),"", Data!M28)</f>
        <v/>
      </c>
      <c r="S29" s="12" t="str">
        <f>IF(Data!N28=FALSE(),"", Data!N28)</f>
        <v/>
      </c>
    </row>
    <row r="30" spans="1:19" ht="16.5">
      <c r="A30" s="12" t="str">
        <f>Data!A29</f>
        <v>Demo - 39</v>
      </c>
      <c r="B30" s="12" t="str">
        <f>Data!B29</f>
        <v>Vehicle, Company Group</v>
      </c>
      <c r="C30" s="12" t="str">
        <f>Data!D29</f>
        <v>b27</v>
      </c>
      <c r="D30" s="13">
        <f>Data!E29</f>
        <v>46054.297442129631</v>
      </c>
      <c r="E30" s="56">
        <f t="shared" si="0"/>
        <v>0</v>
      </c>
      <c r="F30" s="12" t="str">
        <f>Data!F29</f>
        <v>Telematics device fault: Check device installation as the accelerometer was disabled due to excessive data</v>
      </c>
      <c r="G30" s="14" t="str">
        <f>Data!A29&amp;" "&amp;Data!F29</f>
        <v>Demo - 39 Telematics device fault: Check device installation as the accelerometer was disabled due to excessive data</v>
      </c>
      <c r="H30" s="56">
        <f>IF(COUNTIF($G$10:G30,G30)&gt;1,0,1)</f>
        <v>1</v>
      </c>
      <c r="I30" s="12" t="str">
        <f>IF(L30=FALSE,Data!J29," ")</f>
        <v xml:space="preserve"> </v>
      </c>
      <c r="J30" s="15" t="b">
        <f t="shared" si="1"/>
        <v>0</v>
      </c>
      <c r="K30" s="12" t="str">
        <f>Data!H29</f>
        <v>Telematics Device</v>
      </c>
      <c r="L30" s="15" t="b">
        <f t="shared" si="2"/>
        <v>1</v>
      </c>
      <c r="M30" s="14" t="str">
        <f>Data!I29</f>
        <v>Telematics device</v>
      </c>
      <c r="N30" s="15" t="str">
        <f>Data!G29</f>
        <v>265</v>
      </c>
      <c r="O30" s="15" t="b">
        <f t="shared" si="3"/>
        <v>1</v>
      </c>
      <c r="P30" s="12" t="str">
        <f>IF(Data!K29=FALSE(),"", Data!K29)</f>
        <v/>
      </c>
      <c r="Q30" s="12" t="str">
        <f>IF(Data!L29=FALSE(),"", Data!L29)</f>
        <v/>
      </c>
      <c r="R30" s="12" t="str">
        <f>IF(Data!M29=FALSE(),"", Data!M29)</f>
        <v/>
      </c>
      <c r="S30" s="12" t="str">
        <f>IF(Data!N29=FALSE(),"", Data!N29)</f>
        <v/>
      </c>
    </row>
    <row r="31" spans="1:19" ht="16.5">
      <c r="A31" s="12" t="str">
        <f>Data!A30</f>
        <v>Demo - 39</v>
      </c>
      <c r="B31" s="12" t="str">
        <f>Data!B30</f>
        <v>Vehicle, Company Group</v>
      </c>
      <c r="C31" s="12" t="str">
        <f>Data!D30</f>
        <v>b27</v>
      </c>
      <c r="D31" s="13">
        <f>Data!E30</f>
        <v>46054.378206018519</v>
      </c>
      <c r="E31" s="56">
        <f t="shared" si="0"/>
        <v>0</v>
      </c>
      <c r="F31" s="12" t="str">
        <f>Data!F30</f>
        <v>Telematics device fault: Check device installation as the accelerometer was disabled due to excessive data</v>
      </c>
      <c r="G31" s="14" t="str">
        <f>Data!A30&amp;" "&amp;Data!F30</f>
        <v>Demo - 39 Telematics device fault: Check device installation as the accelerometer was disabled due to excessive data</v>
      </c>
      <c r="H31" s="56">
        <f>IF(COUNTIF($G$10:G31,G31)&gt;1,0,1)</f>
        <v>0</v>
      </c>
      <c r="I31" s="12" t="str">
        <f>IF(L31=FALSE,Data!J30," ")</f>
        <v xml:space="preserve"> </v>
      </c>
      <c r="J31" s="15" t="b">
        <f t="shared" si="1"/>
        <v>0</v>
      </c>
      <c r="K31" s="12" t="str">
        <f>Data!H30</f>
        <v>Telematics Device</v>
      </c>
      <c r="L31" s="15" t="b">
        <f t="shared" si="2"/>
        <v>1</v>
      </c>
      <c r="M31" s="14" t="str">
        <f>Data!I30</f>
        <v>Telematics device</v>
      </c>
      <c r="N31" s="15" t="str">
        <f>Data!G30</f>
        <v>265</v>
      </c>
      <c r="O31" s="15" t="b">
        <f t="shared" si="3"/>
        <v>1</v>
      </c>
      <c r="P31" s="12" t="str">
        <f>IF(Data!K30=FALSE(),"", Data!K30)</f>
        <v/>
      </c>
      <c r="Q31" s="12" t="str">
        <f>IF(Data!L30=FALSE(),"", Data!L30)</f>
        <v/>
      </c>
      <c r="R31" s="12" t="str">
        <f>IF(Data!M30=FALSE(),"", Data!M30)</f>
        <v/>
      </c>
      <c r="S31" s="12" t="str">
        <f>IF(Data!N30=FALSE(),"", Data!N30)</f>
        <v/>
      </c>
    </row>
    <row r="32" spans="1:19" ht="16.5">
      <c r="A32" s="12" t="str">
        <f>Data!A31</f>
        <v>Demo - 39</v>
      </c>
      <c r="B32" s="12" t="str">
        <f>Data!B31</f>
        <v>Vehicle, Company Group</v>
      </c>
      <c r="C32" s="12" t="str">
        <f>Data!D31</f>
        <v>b27</v>
      </c>
      <c r="D32" s="13">
        <f>Data!E31</f>
        <v>46054.420925925922</v>
      </c>
      <c r="E32" s="56">
        <f t="shared" si="0"/>
        <v>0</v>
      </c>
      <c r="F32" s="12" t="str">
        <f>Data!F31</f>
        <v>Telematics device fault: Check device installation as the accelerometer was disabled due to excessive data</v>
      </c>
      <c r="G32" s="14" t="str">
        <f>Data!A31&amp;" "&amp;Data!F31</f>
        <v>Demo - 39 Telematics device fault: Check device installation as the accelerometer was disabled due to excessive data</v>
      </c>
      <c r="H32" s="56">
        <f>IF(COUNTIF($G$10:G32,G32)&gt;1,0,1)</f>
        <v>0</v>
      </c>
      <c r="I32" s="12" t="str">
        <f>IF(L32=FALSE,Data!J31," ")</f>
        <v xml:space="preserve"> </v>
      </c>
      <c r="J32" s="15" t="b">
        <f t="shared" si="1"/>
        <v>0</v>
      </c>
      <c r="K32" s="12" t="str">
        <f>Data!H31</f>
        <v>Telematics Device</v>
      </c>
      <c r="L32" s="15" t="b">
        <f t="shared" si="2"/>
        <v>1</v>
      </c>
      <c r="M32" s="14" t="str">
        <f>Data!I31</f>
        <v>Telematics device</v>
      </c>
      <c r="N32" s="15" t="str">
        <f>Data!G31</f>
        <v>265</v>
      </c>
      <c r="O32" s="15" t="b">
        <f t="shared" si="3"/>
        <v>1</v>
      </c>
      <c r="P32" s="12" t="str">
        <f>IF(Data!K31=FALSE(),"", Data!K31)</f>
        <v/>
      </c>
      <c r="Q32" s="12" t="str">
        <f>IF(Data!L31=FALSE(),"", Data!L31)</f>
        <v/>
      </c>
      <c r="R32" s="12" t="str">
        <f>IF(Data!M31=FALSE(),"", Data!M31)</f>
        <v/>
      </c>
      <c r="S32" s="12" t="str">
        <f>IF(Data!N31=FALSE(),"", Data!N31)</f>
        <v/>
      </c>
    </row>
    <row r="33" spans="1:19" ht="16.5">
      <c r="A33" s="12" t="str">
        <f>Data!A32</f>
        <v>Demo - 39</v>
      </c>
      <c r="B33" s="12" t="str">
        <f>Data!B32</f>
        <v>Vehicle, Company Group</v>
      </c>
      <c r="C33" s="12" t="str">
        <f>Data!D32</f>
        <v>b27</v>
      </c>
      <c r="D33" s="13">
        <f>Data!E32</f>
        <v>46054.437604166669</v>
      </c>
      <c r="E33" s="56">
        <f t="shared" si="0"/>
        <v>0</v>
      </c>
      <c r="F33" s="12" t="str">
        <f>Data!F32</f>
        <v>Telematics device fault: Check device installation as the accelerometer was disabled due to excessive data</v>
      </c>
      <c r="G33" s="14" t="str">
        <f>Data!A32&amp;" "&amp;Data!F32</f>
        <v>Demo - 39 Telematics device fault: Check device installation as the accelerometer was disabled due to excessive data</v>
      </c>
      <c r="H33" s="56">
        <f>IF(COUNTIF($G$10:G33,G33)&gt;1,0,1)</f>
        <v>0</v>
      </c>
      <c r="I33" s="12" t="str">
        <f>IF(L33=FALSE,Data!J32," ")</f>
        <v xml:space="preserve"> </v>
      </c>
      <c r="J33" s="15" t="b">
        <f t="shared" si="1"/>
        <v>0</v>
      </c>
      <c r="K33" s="12" t="str">
        <f>Data!H32</f>
        <v>Telematics Device</v>
      </c>
      <c r="L33" s="15" t="b">
        <f t="shared" si="2"/>
        <v>1</v>
      </c>
      <c r="M33" s="14" t="str">
        <f>Data!I32</f>
        <v>Telematics device</v>
      </c>
      <c r="N33" s="15" t="str">
        <f>Data!G32</f>
        <v>265</v>
      </c>
      <c r="O33" s="15" t="b">
        <f t="shared" si="3"/>
        <v>1</v>
      </c>
      <c r="P33" s="12" t="str">
        <f>IF(Data!K32=FALSE(),"", Data!K32)</f>
        <v/>
      </c>
      <c r="Q33" s="12" t="str">
        <f>IF(Data!L32=FALSE(),"", Data!L32)</f>
        <v/>
      </c>
      <c r="R33" s="12" t="str">
        <f>IF(Data!M32=FALSE(),"", Data!M32)</f>
        <v/>
      </c>
      <c r="S33" s="12" t="str">
        <f>IF(Data!N32=FALSE(),"", Data!N32)</f>
        <v/>
      </c>
    </row>
    <row r="34" spans="1:19" ht="16.5">
      <c r="A34" s="12" t="str">
        <f>Data!A33</f>
        <v>Demo - 39</v>
      </c>
      <c r="B34" s="12" t="str">
        <f>Data!B33</f>
        <v>Vehicle, Company Group</v>
      </c>
      <c r="C34" s="12" t="str">
        <f>Data!D33</f>
        <v>b27</v>
      </c>
      <c r="D34" s="13">
        <f>Data!E33</f>
        <v>46054.461655092593</v>
      </c>
      <c r="E34" s="56">
        <f t="shared" si="0"/>
        <v>0</v>
      </c>
      <c r="F34" s="12" t="str">
        <f>Data!F33</f>
        <v>Telematics device fault: Check device installation as the accelerometer was disabled due to excessive data</v>
      </c>
      <c r="G34" s="14" t="str">
        <f>Data!A33&amp;" "&amp;Data!F33</f>
        <v>Demo - 39 Telematics device fault: Check device installation as the accelerometer was disabled due to excessive data</v>
      </c>
      <c r="H34" s="56">
        <f>IF(COUNTIF($G$10:G34,G34)&gt;1,0,1)</f>
        <v>0</v>
      </c>
      <c r="I34" s="12" t="str">
        <f>IF(L34=FALSE,Data!J33," ")</f>
        <v xml:space="preserve"> </v>
      </c>
      <c r="J34" s="15" t="b">
        <f t="shared" si="1"/>
        <v>0</v>
      </c>
      <c r="K34" s="12" t="str">
        <f>Data!H33</f>
        <v>Telematics Device</v>
      </c>
      <c r="L34" s="15" t="b">
        <f t="shared" si="2"/>
        <v>1</v>
      </c>
      <c r="M34" s="14" t="str">
        <f>Data!I33</f>
        <v>Telematics device</v>
      </c>
      <c r="N34" s="15" t="str">
        <f>Data!G33</f>
        <v>265</v>
      </c>
      <c r="O34" s="15" t="b">
        <f t="shared" si="3"/>
        <v>1</v>
      </c>
      <c r="P34" s="12" t="str">
        <f>IF(Data!K33=FALSE(),"", Data!K33)</f>
        <v/>
      </c>
      <c r="Q34" s="12" t="str">
        <f>IF(Data!L33=FALSE(),"", Data!L33)</f>
        <v/>
      </c>
      <c r="R34" s="12" t="str">
        <f>IF(Data!M33=FALSE(),"", Data!M33)</f>
        <v/>
      </c>
      <c r="S34" s="12" t="str">
        <f>IF(Data!N33=FALSE(),"", Data!N33)</f>
        <v/>
      </c>
    </row>
    <row r="35" spans="1:19" ht="16.5">
      <c r="A35" s="12" t="str">
        <f>Data!A34</f>
        <v>Demo - 39</v>
      </c>
      <c r="B35" s="12" t="str">
        <f>Data!B34</f>
        <v>Vehicle, Company Group</v>
      </c>
      <c r="C35" s="12" t="str">
        <f>Data!D34</f>
        <v>b27</v>
      </c>
      <c r="D35" s="13">
        <f>Data!E34</f>
        <v>46054.490185185183</v>
      </c>
      <c r="E35" s="56">
        <f t="shared" si="0"/>
        <v>0</v>
      </c>
      <c r="F35" s="12" t="str">
        <f>Data!F34</f>
        <v>Telematics device fault: Check device installation as the accelerometer was disabled due to excessive data</v>
      </c>
      <c r="G35" s="14" t="str">
        <f>Data!A34&amp;" "&amp;Data!F34</f>
        <v>Demo - 39 Telematics device fault: Check device installation as the accelerometer was disabled due to excessive data</v>
      </c>
      <c r="H35" s="56">
        <f>IF(COUNTIF($G$10:G35,G35)&gt;1,0,1)</f>
        <v>0</v>
      </c>
      <c r="I35" s="12" t="str">
        <f>IF(L35=FALSE,Data!J34," ")</f>
        <v xml:space="preserve"> </v>
      </c>
      <c r="J35" s="15" t="b">
        <f t="shared" si="1"/>
        <v>0</v>
      </c>
      <c r="K35" s="12" t="str">
        <f>Data!H34</f>
        <v>Telematics Device</v>
      </c>
      <c r="L35" s="15" t="b">
        <f t="shared" si="2"/>
        <v>1</v>
      </c>
      <c r="M35" s="14" t="str">
        <f>Data!I34</f>
        <v>Telematics device</v>
      </c>
      <c r="N35" s="15" t="str">
        <f>Data!G34</f>
        <v>265</v>
      </c>
      <c r="O35" s="15" t="b">
        <f t="shared" si="3"/>
        <v>1</v>
      </c>
      <c r="P35" s="12" t="str">
        <f>IF(Data!K34=FALSE(),"", Data!K34)</f>
        <v/>
      </c>
      <c r="Q35" s="12" t="str">
        <f>IF(Data!L34=FALSE(),"", Data!L34)</f>
        <v/>
      </c>
      <c r="R35" s="12" t="str">
        <f>IF(Data!M34=FALSE(),"", Data!M34)</f>
        <v/>
      </c>
      <c r="S35" s="12" t="str">
        <f>IF(Data!N34=FALSE(),"", Data!N34)</f>
        <v/>
      </c>
    </row>
    <row r="36" spans="1:19" ht="16.5">
      <c r="A36" s="12" t="str">
        <f>Data!A35</f>
        <v>Demo - 39</v>
      </c>
      <c r="B36" s="12" t="str">
        <f>Data!B35</f>
        <v>Vehicle, Company Group</v>
      </c>
      <c r="C36" s="12" t="str">
        <f>Data!D35</f>
        <v>b27</v>
      </c>
      <c r="D36" s="13">
        <f>Data!E35</f>
        <v>46054.528414351851</v>
      </c>
      <c r="E36" s="56">
        <f t="shared" si="0"/>
        <v>0</v>
      </c>
      <c r="F36" s="12" t="str">
        <f>Data!F35</f>
        <v>Telematics device fault: Check device installation as the accelerometer was disabled due to excessive data</v>
      </c>
      <c r="G36" s="14" t="str">
        <f>Data!A35&amp;" "&amp;Data!F35</f>
        <v>Demo - 39 Telematics device fault: Check device installation as the accelerometer was disabled due to excessive data</v>
      </c>
      <c r="H36" s="56">
        <f>IF(COUNTIF($G$10:G36,G36)&gt;1,0,1)</f>
        <v>0</v>
      </c>
      <c r="I36" s="12" t="str">
        <f>IF(L36=FALSE,Data!J35," ")</f>
        <v xml:space="preserve"> </v>
      </c>
      <c r="J36" s="15" t="b">
        <f t="shared" si="1"/>
        <v>0</v>
      </c>
      <c r="K36" s="12" t="str">
        <f>Data!H35</f>
        <v>Telematics Device</v>
      </c>
      <c r="L36" s="15" t="b">
        <f t="shared" si="2"/>
        <v>1</v>
      </c>
      <c r="M36" s="14" t="str">
        <f>Data!I35</f>
        <v>Telematics device</v>
      </c>
      <c r="N36" s="15" t="str">
        <f>Data!G35</f>
        <v>265</v>
      </c>
      <c r="O36" s="15" t="b">
        <f t="shared" si="3"/>
        <v>1</v>
      </c>
      <c r="P36" s="12" t="str">
        <f>IF(Data!K35=FALSE(),"", Data!K35)</f>
        <v/>
      </c>
      <c r="Q36" s="12" t="str">
        <f>IF(Data!L35=FALSE(),"", Data!L35)</f>
        <v/>
      </c>
      <c r="R36" s="12" t="str">
        <f>IF(Data!M35=FALSE(),"", Data!M35)</f>
        <v/>
      </c>
      <c r="S36" s="12" t="str">
        <f>IF(Data!N35=FALSE(),"", Data!N35)</f>
        <v/>
      </c>
    </row>
    <row r="37" spans="1:19" ht="16.5">
      <c r="A37" s="12" t="str">
        <f>Data!A36</f>
        <v>Demo - 39</v>
      </c>
      <c r="B37" s="12" t="str">
        <f>Data!B36</f>
        <v>Vehicle, Company Group</v>
      </c>
      <c r="C37" s="12" t="str">
        <f>Data!D36</f>
        <v>b27</v>
      </c>
      <c r="D37" s="13">
        <f>Data!E36</f>
        <v>46054.542592592596</v>
      </c>
      <c r="E37" s="56">
        <f t="shared" si="0"/>
        <v>0</v>
      </c>
      <c r="F37" s="12" t="str">
        <f>Data!F36</f>
        <v>Telematics device fault: Check device installation as the accelerometer was disabled due to excessive data</v>
      </c>
      <c r="G37" s="14" t="str">
        <f>Data!A36&amp;" "&amp;Data!F36</f>
        <v>Demo - 39 Telematics device fault: Check device installation as the accelerometer was disabled due to excessive data</v>
      </c>
      <c r="H37" s="56">
        <f>IF(COUNTIF($G$10:G37,G37)&gt;1,0,1)</f>
        <v>0</v>
      </c>
      <c r="I37" s="12" t="str">
        <f>IF(L37=FALSE,Data!J36," ")</f>
        <v xml:space="preserve"> </v>
      </c>
      <c r="J37" s="15" t="b">
        <f t="shared" si="1"/>
        <v>0</v>
      </c>
      <c r="K37" s="12" t="str">
        <f>Data!H36</f>
        <v>Telematics Device</v>
      </c>
      <c r="L37" s="15" t="b">
        <f t="shared" si="2"/>
        <v>1</v>
      </c>
      <c r="M37" s="14" t="str">
        <f>Data!I36</f>
        <v>Telematics device</v>
      </c>
      <c r="N37" s="15" t="str">
        <f>Data!G36</f>
        <v>265</v>
      </c>
      <c r="O37" s="15" t="b">
        <f t="shared" si="3"/>
        <v>1</v>
      </c>
      <c r="P37" s="12" t="str">
        <f>IF(Data!K36=FALSE(),"", Data!K36)</f>
        <v/>
      </c>
      <c r="Q37" s="12" t="str">
        <f>IF(Data!L36=FALSE(),"", Data!L36)</f>
        <v/>
      </c>
      <c r="R37" s="12" t="str">
        <f>IF(Data!M36=FALSE(),"", Data!M36)</f>
        <v/>
      </c>
      <c r="S37" s="12" t="str">
        <f>IF(Data!N36=FALSE(),"", Data!N36)</f>
        <v/>
      </c>
    </row>
    <row r="38" spans="1:19" ht="16.5">
      <c r="A38" s="12" t="str">
        <f>Data!A37</f>
        <v>Demo - 39</v>
      </c>
      <c r="B38" s="12" t="str">
        <f>Data!B37</f>
        <v>Vehicle, Company Group</v>
      </c>
      <c r="C38" s="12" t="str">
        <f>Data!D37</f>
        <v>b27</v>
      </c>
      <c r="D38" s="13">
        <f>Data!E37</f>
        <v>46054.577106481483</v>
      </c>
      <c r="E38" s="56">
        <f t="shared" si="0"/>
        <v>0</v>
      </c>
      <c r="F38" s="12" t="str">
        <f>Data!F37</f>
        <v>Telematics device fault: Check device installation as the accelerometer was disabled due to excessive data</v>
      </c>
      <c r="G38" s="14" t="str">
        <f>Data!A37&amp;" "&amp;Data!F37</f>
        <v>Demo - 39 Telematics device fault: Check device installation as the accelerometer was disabled due to excessive data</v>
      </c>
      <c r="H38" s="56">
        <f>IF(COUNTIF($G$10:G38,G38)&gt;1,0,1)</f>
        <v>0</v>
      </c>
      <c r="I38" s="12" t="str">
        <f>IF(L38=FALSE,Data!J37," ")</f>
        <v xml:space="preserve"> </v>
      </c>
      <c r="J38" s="15" t="b">
        <f t="shared" si="1"/>
        <v>0</v>
      </c>
      <c r="K38" s="12" t="str">
        <f>Data!H37</f>
        <v>Telematics Device</v>
      </c>
      <c r="L38" s="15" t="b">
        <f t="shared" si="2"/>
        <v>1</v>
      </c>
      <c r="M38" s="14" t="str">
        <f>Data!I37</f>
        <v>Telematics device</v>
      </c>
      <c r="N38" s="15" t="str">
        <f>Data!G37</f>
        <v>265</v>
      </c>
      <c r="O38" s="15" t="b">
        <f t="shared" si="3"/>
        <v>1</v>
      </c>
      <c r="P38" s="12" t="str">
        <f>IF(Data!K37=FALSE(),"", Data!K37)</f>
        <v/>
      </c>
      <c r="Q38" s="12" t="str">
        <f>IF(Data!L37=FALSE(),"", Data!L37)</f>
        <v/>
      </c>
      <c r="R38" s="12" t="str">
        <f>IF(Data!M37=FALSE(),"", Data!M37)</f>
        <v/>
      </c>
      <c r="S38" s="12" t="str">
        <f>IF(Data!N37=FALSE(),"", Data!N37)</f>
        <v/>
      </c>
    </row>
    <row r="39" spans="1:19" ht="16.5">
      <c r="A39" s="12" t="str">
        <f>Data!A38</f>
        <v>Demo - 39</v>
      </c>
      <c r="B39" s="12" t="str">
        <f>Data!B38</f>
        <v>Vehicle, Company Group</v>
      </c>
      <c r="C39" s="12" t="str">
        <f>Data!D38</f>
        <v>b27</v>
      </c>
      <c r="D39" s="13">
        <f>Data!E38</f>
        <v>46054.612627314818</v>
      </c>
      <c r="E39" s="56">
        <f t="shared" si="0"/>
        <v>0</v>
      </c>
      <c r="F39" s="12" t="str">
        <f>Data!F38</f>
        <v>Telematics device fault: Check device installation as the accelerometer was disabled due to excessive data</v>
      </c>
      <c r="G39" s="14" t="str">
        <f>Data!A38&amp;" "&amp;Data!F38</f>
        <v>Demo - 39 Telematics device fault: Check device installation as the accelerometer was disabled due to excessive data</v>
      </c>
      <c r="H39" s="56">
        <f>IF(COUNTIF($G$10:G39,G39)&gt;1,0,1)</f>
        <v>0</v>
      </c>
      <c r="I39" s="12" t="str">
        <f>IF(L39=FALSE,Data!J38," ")</f>
        <v xml:space="preserve"> </v>
      </c>
      <c r="J39" s="15" t="b">
        <f t="shared" si="1"/>
        <v>0</v>
      </c>
      <c r="K39" s="12" t="str">
        <f>Data!H38</f>
        <v>Telematics Device</v>
      </c>
      <c r="L39" s="15" t="b">
        <f t="shared" si="2"/>
        <v>1</v>
      </c>
      <c r="M39" s="14" t="str">
        <f>Data!I38</f>
        <v>Telematics device</v>
      </c>
      <c r="N39" s="15" t="str">
        <f>Data!G38</f>
        <v>265</v>
      </c>
      <c r="O39" s="15" t="b">
        <f t="shared" si="3"/>
        <v>1</v>
      </c>
      <c r="P39" s="12" t="str">
        <f>IF(Data!K38=FALSE(),"", Data!K38)</f>
        <v/>
      </c>
      <c r="Q39" s="12" t="str">
        <f>IF(Data!L38=FALSE(),"", Data!L38)</f>
        <v/>
      </c>
      <c r="R39" s="12" t="str">
        <f>IF(Data!M38=FALSE(),"", Data!M38)</f>
        <v/>
      </c>
      <c r="S39" s="12" t="str">
        <f>IF(Data!N38=FALSE(),"", Data!N38)</f>
        <v/>
      </c>
    </row>
    <row r="40" spans="1:19" ht="16.5">
      <c r="A40" s="12" t="str">
        <f>Data!A39</f>
        <v>Demo - 39</v>
      </c>
      <c r="B40" s="12" t="str">
        <f>Data!B39</f>
        <v>Vehicle, Company Group</v>
      </c>
      <c r="C40" s="12" t="str">
        <f>Data!D39</f>
        <v>b27</v>
      </c>
      <c r="D40" s="13">
        <f>Data!E39</f>
        <v>46055.400347222225</v>
      </c>
      <c r="E40" s="56">
        <f t="shared" si="0"/>
        <v>0</v>
      </c>
      <c r="F40" s="12" t="str">
        <f>Data!F39</f>
        <v>Telematics device fault: Check device installation as the accelerometer was disabled due to excessive data</v>
      </c>
      <c r="G40" s="14" t="str">
        <f>Data!A39&amp;" "&amp;Data!F39</f>
        <v>Demo - 39 Telematics device fault: Check device installation as the accelerometer was disabled due to excessive data</v>
      </c>
      <c r="H40" s="56">
        <f>IF(COUNTIF($G$10:G40,G40)&gt;1,0,1)</f>
        <v>0</v>
      </c>
      <c r="I40" s="12" t="str">
        <f>IF(L40=FALSE,Data!J39," ")</f>
        <v xml:space="preserve"> </v>
      </c>
      <c r="J40" s="15" t="b">
        <f t="shared" si="1"/>
        <v>0</v>
      </c>
      <c r="K40" s="12" t="str">
        <f>Data!H39</f>
        <v>Telematics Device</v>
      </c>
      <c r="L40" s="15" t="b">
        <f t="shared" si="2"/>
        <v>1</v>
      </c>
      <c r="M40" s="14" t="str">
        <f>Data!I39</f>
        <v>Telematics device</v>
      </c>
      <c r="N40" s="15" t="str">
        <f>Data!G39</f>
        <v>265</v>
      </c>
      <c r="O40" s="15" t="b">
        <f t="shared" si="3"/>
        <v>1</v>
      </c>
      <c r="P40" s="12" t="str">
        <f>IF(Data!K39=FALSE(),"", Data!K39)</f>
        <v/>
      </c>
      <c r="Q40" s="12" t="str">
        <f>IF(Data!L39=FALSE(),"", Data!L39)</f>
        <v/>
      </c>
      <c r="R40" s="12" t="str">
        <f>IF(Data!M39=FALSE(),"", Data!M39)</f>
        <v/>
      </c>
      <c r="S40" s="12" t="str">
        <f>IF(Data!N39=FALSE(),"", Data!N39)</f>
        <v/>
      </c>
    </row>
    <row r="41" spans="1:19" ht="16.5">
      <c r="A41" s="12" t="str">
        <f>Data!A40</f>
        <v>Demo - 39</v>
      </c>
      <c r="B41" s="12" t="str">
        <f>Data!B40</f>
        <v>Vehicle, Company Group</v>
      </c>
      <c r="C41" s="12" t="str">
        <f>Data!D40</f>
        <v>b27</v>
      </c>
      <c r="D41" s="13">
        <f>Data!E40</f>
        <v>46055.434212962966</v>
      </c>
      <c r="E41" s="56">
        <f t="shared" si="0"/>
        <v>0</v>
      </c>
      <c r="F41" s="12" t="str">
        <f>Data!F40</f>
        <v>Telematics device fault: Check device installation as the accelerometer was disabled due to excessive data</v>
      </c>
      <c r="G41" s="14" t="str">
        <f>Data!A40&amp;" "&amp;Data!F40</f>
        <v>Demo - 39 Telematics device fault: Check device installation as the accelerometer was disabled due to excessive data</v>
      </c>
      <c r="H41" s="56">
        <f>IF(COUNTIF($G$10:G41,G41)&gt;1,0,1)</f>
        <v>0</v>
      </c>
      <c r="I41" s="12" t="str">
        <f>IF(L41=FALSE,Data!J40," ")</f>
        <v xml:space="preserve"> </v>
      </c>
      <c r="J41" s="15" t="b">
        <f t="shared" si="1"/>
        <v>0</v>
      </c>
      <c r="K41" s="12" t="str">
        <f>Data!H40</f>
        <v>Telematics Device</v>
      </c>
      <c r="L41" s="15" t="b">
        <f t="shared" si="2"/>
        <v>1</v>
      </c>
      <c r="M41" s="14" t="str">
        <f>Data!I40</f>
        <v>Telematics device</v>
      </c>
      <c r="N41" s="15" t="str">
        <f>Data!G40</f>
        <v>265</v>
      </c>
      <c r="O41" s="15" t="b">
        <f t="shared" si="3"/>
        <v>1</v>
      </c>
      <c r="P41" s="12" t="str">
        <f>IF(Data!K40=FALSE(),"", Data!K40)</f>
        <v/>
      </c>
      <c r="Q41" s="12" t="str">
        <f>IF(Data!L40=FALSE(),"", Data!L40)</f>
        <v/>
      </c>
      <c r="R41" s="12" t="str">
        <f>IF(Data!M40=FALSE(),"", Data!M40)</f>
        <v/>
      </c>
      <c r="S41" s="12" t="str">
        <f>IF(Data!N40=FALSE(),"", Data!N40)</f>
        <v/>
      </c>
    </row>
    <row r="42" spans="1:19" ht="16.5">
      <c r="A42" s="12" t="str">
        <f>Data!A41</f>
        <v>Demo - 39</v>
      </c>
      <c r="B42" s="12" t="str">
        <f>Data!B41</f>
        <v>Vehicle, Company Group</v>
      </c>
      <c r="C42" s="12" t="str">
        <f>Data!D41</f>
        <v>b27</v>
      </c>
      <c r="D42" s="13">
        <f>Data!E41</f>
        <v>46055.467962962961</v>
      </c>
      <c r="E42" s="56">
        <f t="shared" si="0"/>
        <v>0</v>
      </c>
      <c r="F42" s="12" t="str">
        <f>Data!F41</f>
        <v>Telematics device fault: Check device installation as the accelerometer was disabled due to excessive data</v>
      </c>
      <c r="G42" s="14" t="str">
        <f>Data!A41&amp;" "&amp;Data!F41</f>
        <v>Demo - 39 Telematics device fault: Check device installation as the accelerometer was disabled due to excessive data</v>
      </c>
      <c r="H42" s="56">
        <f>IF(COUNTIF($G$10:G42,G42)&gt;1,0,1)</f>
        <v>0</v>
      </c>
      <c r="I42" s="12" t="str">
        <f>IF(L42=FALSE,Data!J41," ")</f>
        <v xml:space="preserve"> </v>
      </c>
      <c r="J42" s="15" t="b">
        <f t="shared" si="1"/>
        <v>0</v>
      </c>
      <c r="K42" s="12" t="str">
        <f>Data!H41</f>
        <v>Telematics Device</v>
      </c>
      <c r="L42" s="15" t="b">
        <f t="shared" si="2"/>
        <v>1</v>
      </c>
      <c r="M42" s="14" t="str">
        <f>Data!I41</f>
        <v>Telematics device</v>
      </c>
      <c r="N42" s="15" t="str">
        <f>Data!G41</f>
        <v>265</v>
      </c>
      <c r="O42" s="15" t="b">
        <f t="shared" si="3"/>
        <v>1</v>
      </c>
      <c r="P42" s="12" t="str">
        <f>IF(Data!K41=FALSE(),"", Data!K41)</f>
        <v/>
      </c>
      <c r="Q42" s="12" t="str">
        <f>IF(Data!L41=FALSE(),"", Data!L41)</f>
        <v/>
      </c>
      <c r="R42" s="12" t="str">
        <f>IF(Data!M41=FALSE(),"", Data!M41)</f>
        <v/>
      </c>
      <c r="S42" s="12" t="str">
        <f>IF(Data!N41=FALSE(),"", Data!N41)</f>
        <v/>
      </c>
    </row>
    <row r="43" spans="1:19" ht="16.5">
      <c r="A43" s="12" t="str">
        <f>Data!A42</f>
        <v>Demo - 39</v>
      </c>
      <c r="B43" s="12" t="str">
        <f>Data!B42</f>
        <v>Vehicle, Company Group</v>
      </c>
      <c r="C43" s="12" t="str">
        <f>Data!D42</f>
        <v>b27</v>
      </c>
      <c r="D43" s="13">
        <f>Data!E42</f>
        <v>46055.49728009259</v>
      </c>
      <c r="E43" s="56">
        <f t="shared" si="0"/>
        <v>0</v>
      </c>
      <c r="F43" s="12" t="str">
        <f>Data!F42</f>
        <v>Telematics device fault: Check device installation as the accelerometer was disabled due to excessive data</v>
      </c>
      <c r="G43" s="14" t="str">
        <f>Data!A42&amp;" "&amp;Data!F42</f>
        <v>Demo - 39 Telematics device fault: Check device installation as the accelerometer was disabled due to excessive data</v>
      </c>
      <c r="H43" s="56">
        <f>IF(COUNTIF($G$10:G43,G43)&gt;1,0,1)</f>
        <v>0</v>
      </c>
      <c r="I43" s="12" t="str">
        <f>IF(L43=FALSE,Data!J42," ")</f>
        <v xml:space="preserve"> </v>
      </c>
      <c r="J43" s="15" t="b">
        <f t="shared" si="1"/>
        <v>0</v>
      </c>
      <c r="K43" s="12" t="str">
        <f>Data!H42</f>
        <v>Telematics Device</v>
      </c>
      <c r="L43" s="15" t="b">
        <f t="shared" si="2"/>
        <v>1</v>
      </c>
      <c r="M43" s="14" t="str">
        <f>Data!I42</f>
        <v>Telematics device</v>
      </c>
      <c r="N43" s="15" t="str">
        <f>Data!G42</f>
        <v>265</v>
      </c>
      <c r="O43" s="15" t="b">
        <f t="shared" si="3"/>
        <v>1</v>
      </c>
      <c r="P43" s="12" t="str">
        <f>IF(Data!K42=FALSE(),"", Data!K42)</f>
        <v/>
      </c>
      <c r="Q43" s="12" t="str">
        <f>IF(Data!L42=FALSE(),"", Data!L42)</f>
        <v/>
      </c>
      <c r="R43" s="12" t="str">
        <f>IF(Data!M42=FALSE(),"", Data!M42)</f>
        <v/>
      </c>
      <c r="S43" s="12" t="str">
        <f>IF(Data!N42=FALSE(),"", Data!N42)</f>
        <v/>
      </c>
    </row>
    <row r="44" spans="1:19" ht="16.5">
      <c r="A44" s="12" t="str">
        <f>Data!A43</f>
        <v>Demo - 39</v>
      </c>
      <c r="B44" s="12" t="str">
        <f>Data!B43</f>
        <v>Vehicle, Company Group</v>
      </c>
      <c r="C44" s="12" t="str">
        <f>Data!D43</f>
        <v>b27</v>
      </c>
      <c r="D44" s="13">
        <f>Data!E43</f>
        <v>46055.528402777774</v>
      </c>
      <c r="E44" s="56">
        <f t="shared" si="0"/>
        <v>0</v>
      </c>
      <c r="F44" s="12" t="str">
        <f>Data!F43</f>
        <v>Telematics device fault: Check device installation as the accelerometer was disabled due to excessive data</v>
      </c>
      <c r="G44" s="14" t="str">
        <f>Data!A43&amp;" "&amp;Data!F43</f>
        <v>Demo - 39 Telematics device fault: Check device installation as the accelerometer was disabled due to excessive data</v>
      </c>
      <c r="H44" s="56">
        <f>IF(COUNTIF($G$10:G44,G44)&gt;1,0,1)</f>
        <v>0</v>
      </c>
      <c r="I44" s="12" t="str">
        <f>IF(L44=FALSE,Data!J43," ")</f>
        <v xml:space="preserve"> </v>
      </c>
      <c r="J44" s="15" t="b">
        <f t="shared" si="1"/>
        <v>0</v>
      </c>
      <c r="K44" s="12" t="str">
        <f>Data!H43</f>
        <v>Telematics Device</v>
      </c>
      <c r="L44" s="15" t="b">
        <f t="shared" si="2"/>
        <v>1</v>
      </c>
      <c r="M44" s="14" t="str">
        <f>Data!I43</f>
        <v>Telematics device</v>
      </c>
      <c r="N44" s="15" t="str">
        <f>Data!G43</f>
        <v>265</v>
      </c>
      <c r="O44" s="15" t="b">
        <f t="shared" si="3"/>
        <v>1</v>
      </c>
      <c r="P44" s="12" t="str">
        <f>IF(Data!K43=FALSE(),"", Data!K43)</f>
        <v/>
      </c>
      <c r="Q44" s="12" t="str">
        <f>IF(Data!L43=FALSE(),"", Data!L43)</f>
        <v/>
      </c>
      <c r="R44" s="12" t="str">
        <f>IF(Data!M43=FALSE(),"", Data!M43)</f>
        <v/>
      </c>
      <c r="S44" s="12" t="str">
        <f>IF(Data!N43=FALSE(),"", Data!N43)</f>
        <v/>
      </c>
    </row>
    <row r="45" spans="1:19" ht="16.5">
      <c r="A45" s="12" t="str">
        <f>Data!A44</f>
        <v>Demo - 39</v>
      </c>
      <c r="B45" s="12" t="str">
        <f>Data!B44</f>
        <v>Vehicle, Company Group</v>
      </c>
      <c r="C45" s="12" t="str">
        <f>Data!D44</f>
        <v>b27</v>
      </c>
      <c r="D45" s="13">
        <f>Data!E44</f>
        <v>46055.554976851854</v>
      </c>
      <c r="E45" s="56">
        <f t="shared" si="0"/>
        <v>0</v>
      </c>
      <c r="F45" s="12" t="str">
        <f>Data!F44</f>
        <v>Telematics device fault: Check device installation as the accelerometer was disabled due to excessive data</v>
      </c>
      <c r="G45" s="14" t="str">
        <f>Data!A44&amp;" "&amp;Data!F44</f>
        <v>Demo - 39 Telematics device fault: Check device installation as the accelerometer was disabled due to excessive data</v>
      </c>
      <c r="H45" s="56">
        <f>IF(COUNTIF($G$10:G45,G45)&gt;1,0,1)</f>
        <v>0</v>
      </c>
      <c r="I45" s="12" t="str">
        <f>IF(L45=FALSE,Data!J44," ")</f>
        <v xml:space="preserve"> </v>
      </c>
      <c r="J45" s="15" t="b">
        <f t="shared" si="1"/>
        <v>0</v>
      </c>
      <c r="K45" s="12" t="str">
        <f>Data!H44</f>
        <v>Telematics Device</v>
      </c>
      <c r="L45" s="15" t="b">
        <f t="shared" si="2"/>
        <v>1</v>
      </c>
      <c r="M45" s="14" t="str">
        <f>Data!I44</f>
        <v>Telematics device</v>
      </c>
      <c r="N45" s="15" t="str">
        <f>Data!G44</f>
        <v>265</v>
      </c>
      <c r="O45" s="15" t="b">
        <f t="shared" si="3"/>
        <v>1</v>
      </c>
      <c r="P45" s="12" t="str">
        <f>IF(Data!K44=FALSE(),"", Data!K44)</f>
        <v/>
      </c>
      <c r="Q45" s="12" t="str">
        <f>IF(Data!L44=FALSE(),"", Data!L44)</f>
        <v/>
      </c>
      <c r="R45" s="12" t="str">
        <f>IF(Data!M44=FALSE(),"", Data!M44)</f>
        <v/>
      </c>
      <c r="S45" s="12" t="str">
        <f>IF(Data!N44=FALSE(),"", Data!N44)</f>
        <v/>
      </c>
    </row>
    <row r="46" spans="1:19" ht="16.5">
      <c r="A46" s="12" t="str">
        <f>Data!A45</f>
        <v>Demo - 39</v>
      </c>
      <c r="B46" s="12" t="str">
        <f>Data!B45</f>
        <v>Vehicle, Company Group</v>
      </c>
      <c r="C46" s="12" t="str">
        <f>Data!D45</f>
        <v>b27</v>
      </c>
      <c r="D46" s="13">
        <f>Data!E45</f>
        <v>46055.588333333333</v>
      </c>
      <c r="E46" s="56">
        <f t="shared" si="0"/>
        <v>0</v>
      </c>
      <c r="F46" s="12" t="str">
        <f>Data!F45</f>
        <v>Telematics device fault: Check device installation as the accelerometer was disabled due to excessive data</v>
      </c>
      <c r="G46" s="14" t="str">
        <f>Data!A45&amp;" "&amp;Data!F45</f>
        <v>Demo - 39 Telematics device fault: Check device installation as the accelerometer was disabled due to excessive data</v>
      </c>
      <c r="H46" s="56">
        <f>IF(COUNTIF($G$10:G46,G46)&gt;1,0,1)</f>
        <v>0</v>
      </c>
      <c r="I46" s="12" t="str">
        <f>IF(L46=FALSE,Data!J45," ")</f>
        <v xml:space="preserve"> </v>
      </c>
      <c r="J46" s="15" t="b">
        <f t="shared" si="1"/>
        <v>0</v>
      </c>
      <c r="K46" s="12" t="str">
        <f>Data!H45</f>
        <v>Telematics Device</v>
      </c>
      <c r="L46" s="15" t="b">
        <f t="shared" si="2"/>
        <v>1</v>
      </c>
      <c r="M46" s="14" t="str">
        <f>Data!I45</f>
        <v>Telematics device</v>
      </c>
      <c r="N46" s="15" t="str">
        <f>Data!G45</f>
        <v>265</v>
      </c>
      <c r="O46" s="15" t="b">
        <f t="shared" si="3"/>
        <v>1</v>
      </c>
      <c r="P46" s="12" t="str">
        <f>IF(Data!K45=FALSE(),"", Data!K45)</f>
        <v/>
      </c>
      <c r="Q46" s="12" t="str">
        <f>IF(Data!L45=FALSE(),"", Data!L45)</f>
        <v/>
      </c>
      <c r="R46" s="12" t="str">
        <f>IF(Data!M45=FALSE(),"", Data!M45)</f>
        <v/>
      </c>
      <c r="S46" s="12" t="str">
        <f>IF(Data!N45=FALSE(),"", Data!N45)</f>
        <v/>
      </c>
    </row>
    <row r="47" spans="1:19" ht="16.5">
      <c r="A47" s="12" t="str">
        <f>Data!A46</f>
        <v>Demo - 39</v>
      </c>
      <c r="B47" s="12" t="str">
        <f>Data!B46</f>
        <v>Vehicle, Company Group</v>
      </c>
      <c r="C47" s="12" t="str">
        <f>Data!D46</f>
        <v>b27</v>
      </c>
      <c r="D47" s="13">
        <f>Data!E46</f>
        <v>46055.612407407411</v>
      </c>
      <c r="E47" s="56">
        <f t="shared" si="0"/>
        <v>0</v>
      </c>
      <c r="F47" s="12" t="str">
        <f>Data!F46</f>
        <v>Telematics device fault: Check device installation as the accelerometer was disabled due to excessive data</v>
      </c>
      <c r="G47" s="14" t="str">
        <f>Data!A46&amp;" "&amp;Data!F46</f>
        <v>Demo - 39 Telematics device fault: Check device installation as the accelerometer was disabled due to excessive data</v>
      </c>
      <c r="H47" s="56">
        <f>IF(COUNTIF($G$10:G47,G47)&gt;1,0,1)</f>
        <v>0</v>
      </c>
      <c r="I47" s="12" t="str">
        <f>IF(L47=FALSE,Data!J46," ")</f>
        <v xml:space="preserve"> </v>
      </c>
      <c r="J47" s="15" t="b">
        <f t="shared" si="1"/>
        <v>0</v>
      </c>
      <c r="K47" s="12" t="str">
        <f>Data!H46</f>
        <v>Telematics Device</v>
      </c>
      <c r="L47" s="15" t="b">
        <f t="shared" si="2"/>
        <v>1</v>
      </c>
      <c r="M47" s="14" t="str">
        <f>Data!I46</f>
        <v>Telematics device</v>
      </c>
      <c r="N47" s="15" t="str">
        <f>Data!G46</f>
        <v>265</v>
      </c>
      <c r="O47" s="15" t="b">
        <f t="shared" si="3"/>
        <v>1</v>
      </c>
      <c r="P47" s="12" t="str">
        <f>IF(Data!K46=FALSE(),"", Data!K46)</f>
        <v/>
      </c>
      <c r="Q47" s="12" t="str">
        <f>IF(Data!L46=FALSE(),"", Data!L46)</f>
        <v/>
      </c>
      <c r="R47" s="12" t="str">
        <f>IF(Data!M46=FALSE(),"", Data!M46)</f>
        <v/>
      </c>
      <c r="S47" s="12" t="str">
        <f>IF(Data!N46=FALSE(),"", Data!N46)</f>
        <v/>
      </c>
    </row>
    <row r="48" spans="1:19" ht="16.5">
      <c r="A48" s="12" t="str">
        <f>Data!A47</f>
        <v>Demo - 39</v>
      </c>
      <c r="B48" s="12" t="str">
        <f>Data!B47</f>
        <v>Vehicle, Company Group</v>
      </c>
      <c r="C48" s="12" t="str">
        <f>Data!D47</f>
        <v>b27</v>
      </c>
      <c r="D48" s="13">
        <f>Data!E47</f>
        <v>46055.618703703702</v>
      </c>
      <c r="E48" s="56">
        <f t="shared" si="0"/>
        <v>0</v>
      </c>
      <c r="F48" s="12" t="str">
        <f>Data!F47</f>
        <v>Telematics device fault: Check device installation as the accelerometer was disabled due to excessive data</v>
      </c>
      <c r="G48" s="14" t="str">
        <f>Data!A47&amp;" "&amp;Data!F47</f>
        <v>Demo - 39 Telematics device fault: Check device installation as the accelerometer was disabled due to excessive data</v>
      </c>
      <c r="H48" s="56">
        <f>IF(COUNTIF($G$10:G48,G48)&gt;1,0,1)</f>
        <v>0</v>
      </c>
      <c r="I48" s="12" t="str">
        <f>IF(L48=FALSE,Data!J47," ")</f>
        <v xml:space="preserve"> </v>
      </c>
      <c r="J48" s="15" t="b">
        <f t="shared" si="1"/>
        <v>0</v>
      </c>
      <c r="K48" s="12" t="str">
        <f>Data!H47</f>
        <v>Telematics Device</v>
      </c>
      <c r="L48" s="15" t="b">
        <f t="shared" si="2"/>
        <v>1</v>
      </c>
      <c r="M48" s="14" t="str">
        <f>Data!I47</f>
        <v>Telematics device</v>
      </c>
      <c r="N48" s="15" t="str">
        <f>Data!G47</f>
        <v>265</v>
      </c>
      <c r="O48" s="15" t="b">
        <f t="shared" si="3"/>
        <v>1</v>
      </c>
      <c r="P48" s="12" t="str">
        <f>IF(Data!K47=FALSE(),"", Data!K47)</f>
        <v/>
      </c>
      <c r="Q48" s="12" t="str">
        <f>IF(Data!L47=FALSE(),"", Data!L47)</f>
        <v/>
      </c>
      <c r="R48" s="12" t="str">
        <f>IF(Data!M47=FALSE(),"", Data!M47)</f>
        <v/>
      </c>
      <c r="S48" s="12" t="str">
        <f>IF(Data!N47=FALSE(),"", Data!N47)</f>
        <v/>
      </c>
    </row>
    <row r="49" spans="1:19" ht="16.5">
      <c r="A49" s="12" t="str">
        <f>Data!A48</f>
        <v>Demo - 39</v>
      </c>
      <c r="B49" s="12" t="str">
        <f>Data!B48</f>
        <v>Vehicle, Company Group</v>
      </c>
      <c r="C49" s="12" t="str">
        <f>Data!D48</f>
        <v>b27</v>
      </c>
      <c r="D49" s="13">
        <f>Data!E48</f>
        <v>46055.642905092594</v>
      </c>
      <c r="E49" s="56">
        <f t="shared" si="0"/>
        <v>0</v>
      </c>
      <c r="F49" s="12" t="str">
        <f>Data!F48</f>
        <v>Telematics device fault: Check device installation as the accelerometer was disabled due to excessive data</v>
      </c>
      <c r="G49" s="14" t="str">
        <f>Data!A48&amp;" "&amp;Data!F48</f>
        <v>Demo - 39 Telematics device fault: Check device installation as the accelerometer was disabled due to excessive data</v>
      </c>
      <c r="H49" s="56">
        <f>IF(COUNTIF($G$10:G49,G49)&gt;1,0,1)</f>
        <v>0</v>
      </c>
      <c r="I49" s="12" t="str">
        <f>IF(L49=FALSE,Data!J48," ")</f>
        <v xml:space="preserve"> </v>
      </c>
      <c r="J49" s="15" t="b">
        <f t="shared" si="1"/>
        <v>0</v>
      </c>
      <c r="K49" s="12" t="str">
        <f>Data!H48</f>
        <v>Telematics Device</v>
      </c>
      <c r="L49" s="15" t="b">
        <f t="shared" si="2"/>
        <v>1</v>
      </c>
      <c r="M49" s="14" t="str">
        <f>Data!I48</f>
        <v>Telematics device</v>
      </c>
      <c r="N49" s="15" t="str">
        <f>Data!G48</f>
        <v>265</v>
      </c>
      <c r="O49" s="15" t="b">
        <f t="shared" si="3"/>
        <v>1</v>
      </c>
      <c r="P49" s="12" t="str">
        <f>IF(Data!K48=FALSE(),"", Data!K48)</f>
        <v/>
      </c>
      <c r="Q49" s="12" t="str">
        <f>IF(Data!L48=FALSE(),"", Data!L48)</f>
        <v/>
      </c>
      <c r="R49" s="12" t="str">
        <f>IF(Data!M48=FALSE(),"", Data!M48)</f>
        <v/>
      </c>
      <c r="S49" s="12" t="str">
        <f>IF(Data!N48=FALSE(),"", Data!N48)</f>
        <v/>
      </c>
    </row>
    <row r="50" spans="1:19" ht="16.5">
      <c r="A50" s="12" t="str">
        <f>Data!A49</f>
        <v>Demo - 39</v>
      </c>
      <c r="B50" s="12" t="str">
        <f>Data!B49</f>
        <v>Vehicle, Company Group</v>
      </c>
      <c r="C50" s="12" t="str">
        <f>Data!D49</f>
        <v>b27</v>
      </c>
      <c r="D50" s="13">
        <f>Data!E49</f>
        <v>46056.574525462966</v>
      </c>
      <c r="E50" s="56">
        <f t="shared" si="0"/>
        <v>0</v>
      </c>
      <c r="F50" s="12" t="str">
        <f>Data!F49</f>
        <v>Telematics device fault: Check device installation as the accelerometer was disabled due to excessive data</v>
      </c>
      <c r="G50" s="14" t="str">
        <f>Data!A49&amp;" "&amp;Data!F49</f>
        <v>Demo - 39 Telematics device fault: Check device installation as the accelerometer was disabled due to excessive data</v>
      </c>
      <c r="H50" s="56">
        <f>IF(COUNTIF($G$10:G50,G50)&gt;1,0,1)</f>
        <v>0</v>
      </c>
      <c r="I50" s="12" t="str">
        <f>IF(L50=FALSE,Data!J49," ")</f>
        <v xml:space="preserve"> </v>
      </c>
      <c r="J50" s="15" t="b">
        <f t="shared" si="1"/>
        <v>0</v>
      </c>
      <c r="K50" s="12" t="str">
        <f>Data!H49</f>
        <v>Telematics Device</v>
      </c>
      <c r="L50" s="15" t="b">
        <f t="shared" si="2"/>
        <v>1</v>
      </c>
      <c r="M50" s="14" t="str">
        <f>Data!I49</f>
        <v>Telematics device</v>
      </c>
      <c r="N50" s="15" t="str">
        <f>Data!G49</f>
        <v>265</v>
      </c>
      <c r="O50" s="15" t="b">
        <f t="shared" si="3"/>
        <v>1</v>
      </c>
      <c r="P50" s="12" t="str">
        <f>IF(Data!K49=FALSE(),"", Data!K49)</f>
        <v/>
      </c>
      <c r="Q50" s="12" t="str">
        <f>IF(Data!L49=FALSE(),"", Data!L49)</f>
        <v/>
      </c>
      <c r="R50" s="12" t="str">
        <f>IF(Data!M49=FALSE(),"", Data!M49)</f>
        <v/>
      </c>
      <c r="S50" s="12" t="str">
        <f>IF(Data!N49=FALSE(),"", Data!N49)</f>
        <v/>
      </c>
    </row>
    <row r="51" spans="1:19" ht="16.5">
      <c r="A51" s="12" t="str">
        <f>Data!A50</f>
        <v>Demo - 39</v>
      </c>
      <c r="B51" s="12" t="str">
        <f>Data!B50</f>
        <v>Vehicle, Company Group</v>
      </c>
      <c r="C51" s="12" t="str">
        <f>Data!D50</f>
        <v>b27</v>
      </c>
      <c r="D51" s="13">
        <f>Data!E50</f>
        <v>46056.622256944444</v>
      </c>
      <c r="E51" s="56">
        <f t="shared" si="0"/>
        <v>0</v>
      </c>
      <c r="F51" s="12" t="str">
        <f>Data!F50</f>
        <v>Telematics device fault: Check device installation as the accelerometer was disabled due to excessive data</v>
      </c>
      <c r="G51" s="14" t="str">
        <f>Data!A50&amp;" "&amp;Data!F50</f>
        <v>Demo - 39 Telematics device fault: Check device installation as the accelerometer was disabled due to excessive data</v>
      </c>
      <c r="H51" s="56">
        <f>IF(COUNTIF($G$10:G51,G51)&gt;1,0,1)</f>
        <v>0</v>
      </c>
      <c r="I51" s="12" t="str">
        <f>IF(L51=FALSE,Data!J50," ")</f>
        <v xml:space="preserve"> </v>
      </c>
      <c r="J51" s="15" t="b">
        <f t="shared" si="1"/>
        <v>0</v>
      </c>
      <c r="K51" s="12" t="str">
        <f>Data!H50</f>
        <v>Telematics Device</v>
      </c>
      <c r="L51" s="15" t="b">
        <f t="shared" si="2"/>
        <v>1</v>
      </c>
      <c r="M51" s="14" t="str">
        <f>Data!I50</f>
        <v>Telematics device</v>
      </c>
      <c r="N51" s="15" t="str">
        <f>Data!G50</f>
        <v>265</v>
      </c>
      <c r="O51" s="15" t="b">
        <f t="shared" si="3"/>
        <v>1</v>
      </c>
      <c r="P51" s="12" t="str">
        <f>IF(Data!K50=FALSE(),"", Data!K50)</f>
        <v/>
      </c>
      <c r="Q51" s="12" t="str">
        <f>IF(Data!L50=FALSE(),"", Data!L50)</f>
        <v/>
      </c>
      <c r="R51" s="12" t="str">
        <f>IF(Data!M50=FALSE(),"", Data!M50)</f>
        <v/>
      </c>
      <c r="S51" s="12" t="str">
        <f>IF(Data!N50=FALSE(),"", Data!N50)</f>
        <v/>
      </c>
    </row>
    <row r="52" spans="1:19" ht="16.5">
      <c r="A52" s="12" t="str">
        <f>Data!A51</f>
        <v>Demo - 39</v>
      </c>
      <c r="B52" s="12" t="str">
        <f>Data!B51</f>
        <v>Vehicle, Company Group</v>
      </c>
      <c r="C52" s="12" t="str">
        <f>Data!D51</f>
        <v>b27</v>
      </c>
      <c r="D52" s="13">
        <f>Data!E51</f>
        <v>46059.402546296296</v>
      </c>
      <c r="E52" s="56">
        <f t="shared" si="0"/>
        <v>0</v>
      </c>
      <c r="F52" s="12" t="str">
        <f>Data!F51</f>
        <v>Telematics device fault: Check device installation as the accelerometer was disabled due to excessive data</v>
      </c>
      <c r="G52" s="14" t="str">
        <f>Data!A51&amp;" "&amp;Data!F51</f>
        <v>Demo - 39 Telematics device fault: Check device installation as the accelerometer was disabled due to excessive data</v>
      </c>
      <c r="H52" s="56">
        <f>IF(COUNTIF($G$10:G52,G52)&gt;1,0,1)</f>
        <v>0</v>
      </c>
      <c r="I52" s="12" t="str">
        <f>IF(L52=FALSE,Data!J51," ")</f>
        <v xml:space="preserve"> </v>
      </c>
      <c r="J52" s="15" t="b">
        <f t="shared" si="1"/>
        <v>0</v>
      </c>
      <c r="K52" s="12" t="str">
        <f>Data!H51</f>
        <v>Telematics Device</v>
      </c>
      <c r="L52" s="15" t="b">
        <f t="shared" si="2"/>
        <v>1</v>
      </c>
      <c r="M52" s="14" t="str">
        <f>Data!I51</f>
        <v>Telematics device</v>
      </c>
      <c r="N52" s="15" t="str">
        <f>Data!G51</f>
        <v>265</v>
      </c>
      <c r="O52" s="15" t="b">
        <f t="shared" si="3"/>
        <v>1</v>
      </c>
      <c r="P52" s="12" t="str">
        <f>IF(Data!K51=FALSE(),"", Data!K51)</f>
        <v/>
      </c>
      <c r="Q52" s="12" t="str">
        <f>IF(Data!L51=FALSE(),"", Data!L51)</f>
        <v/>
      </c>
      <c r="R52" s="12" t="str">
        <f>IF(Data!M51=FALSE(),"", Data!M51)</f>
        <v/>
      </c>
      <c r="S52" s="12" t="str">
        <f>IF(Data!N51=FALSE(),"", Data!N51)</f>
        <v/>
      </c>
    </row>
    <row r="53" spans="1:19" ht="16.5">
      <c r="A53" s="12" t="str">
        <f>Data!A52</f>
        <v>Demo - 39</v>
      </c>
      <c r="B53" s="12" t="str">
        <f>Data!B52</f>
        <v>Vehicle, Company Group</v>
      </c>
      <c r="C53" s="12" t="str">
        <f>Data!D52</f>
        <v>b27</v>
      </c>
      <c r="D53" s="13">
        <f>Data!E52</f>
        <v>46059.4452662037</v>
      </c>
      <c r="E53" s="56">
        <f t="shared" si="0"/>
        <v>0</v>
      </c>
      <c r="F53" s="12" t="str">
        <f>Data!F52</f>
        <v>Telematics device fault: Check device installation as the accelerometer was disabled due to excessive data</v>
      </c>
      <c r="G53" s="14" t="str">
        <f>Data!A52&amp;" "&amp;Data!F52</f>
        <v>Demo - 39 Telematics device fault: Check device installation as the accelerometer was disabled due to excessive data</v>
      </c>
      <c r="H53" s="56">
        <f>IF(COUNTIF($G$10:G53,G53)&gt;1,0,1)</f>
        <v>0</v>
      </c>
      <c r="I53" s="12" t="str">
        <f>IF(L53=FALSE,Data!J52," ")</f>
        <v xml:space="preserve"> </v>
      </c>
      <c r="J53" s="15" t="b">
        <f t="shared" si="1"/>
        <v>0</v>
      </c>
      <c r="K53" s="12" t="str">
        <f>Data!H52</f>
        <v>Telematics Device</v>
      </c>
      <c r="L53" s="15" t="b">
        <f t="shared" si="2"/>
        <v>1</v>
      </c>
      <c r="M53" s="14" t="str">
        <f>Data!I52</f>
        <v>Telematics device</v>
      </c>
      <c r="N53" s="15" t="str">
        <f>Data!G52</f>
        <v>265</v>
      </c>
      <c r="O53" s="15" t="b">
        <f t="shared" si="3"/>
        <v>1</v>
      </c>
      <c r="P53" s="12" t="str">
        <f>IF(Data!K52=FALSE(),"", Data!K52)</f>
        <v/>
      </c>
      <c r="Q53" s="12" t="str">
        <f>IF(Data!L52=FALSE(),"", Data!L52)</f>
        <v/>
      </c>
      <c r="R53" s="12" t="str">
        <f>IF(Data!M52=FALSE(),"", Data!M52)</f>
        <v/>
      </c>
      <c r="S53" s="12" t="str">
        <f>IF(Data!N52=FALSE(),"", Data!N52)</f>
        <v/>
      </c>
    </row>
    <row r="54" spans="1:19" ht="16.5">
      <c r="A54" s="12" t="str">
        <f>Data!A53</f>
        <v>Demo - 39</v>
      </c>
      <c r="B54" s="12" t="str">
        <f>Data!B53</f>
        <v>Vehicle, Company Group</v>
      </c>
      <c r="C54" s="12" t="str">
        <f>Data!D53</f>
        <v>b27</v>
      </c>
      <c r="D54" s="13">
        <f>Data!E53</f>
        <v>46059.483194444445</v>
      </c>
      <c r="E54" s="56">
        <f t="shared" si="0"/>
        <v>0</v>
      </c>
      <c r="F54" s="12" t="str">
        <f>Data!F53</f>
        <v>Telematics device fault: Check device installation as the accelerometer was disabled due to excessive data</v>
      </c>
      <c r="G54" s="14" t="str">
        <f>Data!A53&amp;" "&amp;Data!F53</f>
        <v>Demo - 39 Telematics device fault: Check device installation as the accelerometer was disabled due to excessive data</v>
      </c>
      <c r="H54" s="56">
        <f>IF(COUNTIF($G$10:G54,G54)&gt;1,0,1)</f>
        <v>0</v>
      </c>
      <c r="I54" s="12" t="str">
        <f>IF(L54=FALSE,Data!J53," ")</f>
        <v xml:space="preserve"> </v>
      </c>
      <c r="J54" s="15" t="b">
        <f t="shared" si="1"/>
        <v>0</v>
      </c>
      <c r="K54" s="12" t="str">
        <f>Data!H53</f>
        <v>Telematics Device</v>
      </c>
      <c r="L54" s="15" t="b">
        <f t="shared" si="2"/>
        <v>1</v>
      </c>
      <c r="M54" s="14" t="str">
        <f>Data!I53</f>
        <v>Telematics device</v>
      </c>
      <c r="N54" s="15" t="str">
        <f>Data!G53</f>
        <v>265</v>
      </c>
      <c r="O54" s="15" t="b">
        <f t="shared" si="3"/>
        <v>1</v>
      </c>
      <c r="P54" s="12" t="str">
        <f>IF(Data!K53=FALSE(),"", Data!K53)</f>
        <v/>
      </c>
      <c r="Q54" s="12" t="str">
        <f>IF(Data!L53=FALSE(),"", Data!L53)</f>
        <v/>
      </c>
      <c r="R54" s="12" t="str">
        <f>IF(Data!M53=FALSE(),"", Data!M53)</f>
        <v/>
      </c>
      <c r="S54" s="12" t="str">
        <f>IF(Data!N53=FALSE(),"", Data!N53)</f>
        <v/>
      </c>
    </row>
    <row r="55" spans="1:19" ht="16.5">
      <c r="A55" s="12" t="str">
        <f>Data!A54</f>
        <v>Demo - 39</v>
      </c>
      <c r="B55" s="12" t="str">
        <f>Data!B54</f>
        <v>Vehicle, Company Group</v>
      </c>
      <c r="C55" s="12" t="str">
        <f>Data!D54</f>
        <v>b27</v>
      </c>
      <c r="D55" s="13">
        <f>Data!E54</f>
        <v>46059.491851851853</v>
      </c>
      <c r="E55" s="56">
        <f t="shared" si="0"/>
        <v>0</v>
      </c>
      <c r="F55" s="12" t="str">
        <f>Data!F54</f>
        <v>Telematics device fault: Check device installation as the accelerometer was disabled due to excessive data</v>
      </c>
      <c r="G55" s="14" t="str">
        <f>Data!A54&amp;" "&amp;Data!F54</f>
        <v>Demo - 39 Telematics device fault: Check device installation as the accelerometer was disabled due to excessive data</v>
      </c>
      <c r="H55" s="56">
        <f>IF(COUNTIF($G$10:G55,G55)&gt;1,0,1)</f>
        <v>0</v>
      </c>
      <c r="I55" s="12" t="str">
        <f>IF(L55=FALSE,Data!J54," ")</f>
        <v xml:space="preserve"> </v>
      </c>
      <c r="J55" s="15" t="b">
        <f t="shared" si="1"/>
        <v>0</v>
      </c>
      <c r="K55" s="12" t="str">
        <f>Data!H54</f>
        <v>Telematics Device</v>
      </c>
      <c r="L55" s="15" t="b">
        <f t="shared" si="2"/>
        <v>1</v>
      </c>
      <c r="M55" s="14" t="str">
        <f>Data!I54</f>
        <v>Telematics device</v>
      </c>
      <c r="N55" s="15" t="str">
        <f>Data!G54</f>
        <v>265</v>
      </c>
      <c r="O55" s="15" t="b">
        <f t="shared" si="3"/>
        <v>1</v>
      </c>
      <c r="P55" s="12" t="str">
        <f>IF(Data!K54=FALSE(),"", Data!K54)</f>
        <v/>
      </c>
      <c r="Q55" s="12" t="str">
        <f>IF(Data!L54=FALSE(),"", Data!L54)</f>
        <v/>
      </c>
      <c r="R55" s="12" t="str">
        <f>IF(Data!M54=FALSE(),"", Data!M54)</f>
        <v/>
      </c>
      <c r="S55" s="12" t="str">
        <f>IF(Data!N54=FALSE(),"", Data!N54)</f>
        <v/>
      </c>
    </row>
    <row r="56" spans="1:19" ht="16.5">
      <c r="A56" s="12" t="str">
        <f>Data!A55</f>
        <v>Demo - 39</v>
      </c>
      <c r="B56" s="12" t="str">
        <f>Data!B55</f>
        <v>Vehicle, Company Group</v>
      </c>
      <c r="C56" s="12" t="str">
        <f>Data!D55</f>
        <v>b27</v>
      </c>
      <c r="D56" s="13">
        <f>Data!E55</f>
        <v>46059.506921296299</v>
      </c>
      <c r="E56" s="56">
        <f t="shared" si="0"/>
        <v>0</v>
      </c>
      <c r="F56" s="12" t="str">
        <f>Data!F55</f>
        <v>Telematics device fault: Check device installation as the accelerometer was disabled due to excessive data</v>
      </c>
      <c r="G56" s="14" t="str">
        <f>Data!A55&amp;" "&amp;Data!F55</f>
        <v>Demo - 39 Telematics device fault: Check device installation as the accelerometer was disabled due to excessive data</v>
      </c>
      <c r="H56" s="56">
        <f>IF(COUNTIF($G$10:G56,G56)&gt;1,0,1)</f>
        <v>0</v>
      </c>
      <c r="I56" s="12" t="str">
        <f>IF(L56=FALSE,Data!J55," ")</f>
        <v xml:space="preserve"> </v>
      </c>
      <c r="J56" s="15" t="b">
        <f t="shared" si="1"/>
        <v>0</v>
      </c>
      <c r="K56" s="12" t="str">
        <f>Data!H55</f>
        <v>Telematics Device</v>
      </c>
      <c r="L56" s="15" t="b">
        <f t="shared" si="2"/>
        <v>1</v>
      </c>
      <c r="M56" s="14" t="str">
        <f>Data!I55</f>
        <v>Telematics device</v>
      </c>
      <c r="N56" s="15" t="str">
        <f>Data!G55</f>
        <v>265</v>
      </c>
      <c r="O56" s="15" t="b">
        <f t="shared" si="3"/>
        <v>1</v>
      </c>
      <c r="P56" s="12" t="str">
        <f>IF(Data!K55=FALSE(),"", Data!K55)</f>
        <v/>
      </c>
      <c r="Q56" s="12" t="str">
        <f>IF(Data!L55=FALSE(),"", Data!L55)</f>
        <v/>
      </c>
      <c r="R56" s="12" t="str">
        <f>IF(Data!M55=FALSE(),"", Data!M55)</f>
        <v/>
      </c>
      <c r="S56" s="12" t="str">
        <f>IF(Data!N55=FALSE(),"", Data!N55)</f>
        <v/>
      </c>
    </row>
    <row r="57" spans="1:19" ht="16.5">
      <c r="A57" s="12" t="str">
        <f>Data!A56</f>
        <v>Demo - 39</v>
      </c>
      <c r="B57" s="12" t="str">
        <f>Data!B56</f>
        <v>Vehicle, Company Group</v>
      </c>
      <c r="C57" s="12" t="str">
        <f>Data!D56</f>
        <v>b27</v>
      </c>
      <c r="D57" s="13">
        <f>Data!E56</f>
        <v>46059.518009259256</v>
      </c>
      <c r="E57" s="56">
        <f t="shared" si="0"/>
        <v>0</v>
      </c>
      <c r="F57" s="12" t="str">
        <f>Data!F56</f>
        <v>Telematics device fault: Check device installation as the accelerometer was disabled due to excessive data</v>
      </c>
      <c r="G57" s="14" t="str">
        <f>Data!A56&amp;" "&amp;Data!F56</f>
        <v>Demo - 39 Telematics device fault: Check device installation as the accelerometer was disabled due to excessive data</v>
      </c>
      <c r="H57" s="56">
        <f>IF(COUNTIF($G$10:G57,G57)&gt;1,0,1)</f>
        <v>0</v>
      </c>
      <c r="I57" s="12" t="str">
        <f>IF(L57=FALSE,Data!J56," ")</f>
        <v xml:space="preserve"> </v>
      </c>
      <c r="J57" s="15" t="b">
        <f t="shared" si="1"/>
        <v>0</v>
      </c>
      <c r="K57" s="12" t="str">
        <f>Data!H56</f>
        <v>Telematics Device</v>
      </c>
      <c r="L57" s="15" t="b">
        <f t="shared" si="2"/>
        <v>1</v>
      </c>
      <c r="M57" s="14" t="str">
        <f>Data!I56</f>
        <v>Telematics device</v>
      </c>
      <c r="N57" s="15" t="str">
        <f>Data!G56</f>
        <v>265</v>
      </c>
      <c r="O57" s="15" t="b">
        <f t="shared" si="3"/>
        <v>1</v>
      </c>
      <c r="P57" s="12" t="str">
        <f>IF(Data!K56=FALSE(),"", Data!K56)</f>
        <v/>
      </c>
      <c r="Q57" s="12" t="str">
        <f>IF(Data!L56=FALSE(),"", Data!L56)</f>
        <v/>
      </c>
      <c r="R57" s="12" t="str">
        <f>IF(Data!M56=FALSE(),"", Data!M56)</f>
        <v/>
      </c>
      <c r="S57" s="12" t="str">
        <f>IF(Data!N56=FALSE(),"", Data!N56)</f>
        <v/>
      </c>
    </row>
    <row r="58" spans="1:19" ht="16.5">
      <c r="A58" s="12" t="str">
        <f>Data!A57</f>
        <v>Demo - 39</v>
      </c>
      <c r="B58" s="12" t="str">
        <f>Data!B57</f>
        <v>Vehicle, Company Group</v>
      </c>
      <c r="C58" s="12" t="str">
        <f>Data!D57</f>
        <v>b27</v>
      </c>
      <c r="D58" s="13">
        <f>Data!E57</f>
        <v>46059.595092592594</v>
      </c>
      <c r="E58" s="56">
        <f t="shared" si="0"/>
        <v>0</v>
      </c>
      <c r="F58" s="12" t="str">
        <f>Data!F57</f>
        <v>Telematics device fault: Check device installation as the accelerometer was disabled due to excessive data</v>
      </c>
      <c r="G58" s="14" t="str">
        <f>Data!A57&amp;" "&amp;Data!F57</f>
        <v>Demo - 39 Telematics device fault: Check device installation as the accelerometer was disabled due to excessive data</v>
      </c>
      <c r="H58" s="56">
        <f>IF(COUNTIF($G$10:G58,G58)&gt;1,0,1)</f>
        <v>0</v>
      </c>
      <c r="I58" s="12" t="str">
        <f>IF(L58=FALSE,Data!J57," ")</f>
        <v xml:space="preserve"> </v>
      </c>
      <c r="J58" s="15" t="b">
        <f t="shared" si="1"/>
        <v>0</v>
      </c>
      <c r="K58" s="12" t="str">
        <f>Data!H57</f>
        <v>Telematics Device</v>
      </c>
      <c r="L58" s="15" t="b">
        <f t="shared" si="2"/>
        <v>1</v>
      </c>
      <c r="M58" s="14" t="str">
        <f>Data!I57</f>
        <v>Telematics device</v>
      </c>
      <c r="N58" s="15" t="str">
        <f>Data!G57</f>
        <v>265</v>
      </c>
      <c r="O58" s="15" t="b">
        <f t="shared" si="3"/>
        <v>1</v>
      </c>
      <c r="P58" s="12" t="str">
        <f>IF(Data!K57=FALSE(),"", Data!K57)</f>
        <v/>
      </c>
      <c r="Q58" s="12" t="str">
        <f>IF(Data!L57=FALSE(),"", Data!L57)</f>
        <v/>
      </c>
      <c r="R58" s="12" t="str">
        <f>IF(Data!M57=FALSE(),"", Data!M57)</f>
        <v/>
      </c>
      <c r="S58" s="12" t="str">
        <f>IF(Data!N57=FALSE(),"", Data!N57)</f>
        <v/>
      </c>
    </row>
    <row r="59" spans="1:19" ht="16.5">
      <c r="A59" s="12" t="str">
        <f>Data!A58</f>
        <v>Demo - 39</v>
      </c>
      <c r="B59" s="12" t="str">
        <f>Data!B58</f>
        <v>Vehicle, Company Group</v>
      </c>
      <c r="C59" s="12" t="str">
        <f>Data!D58</f>
        <v>b27</v>
      </c>
      <c r="D59" s="13">
        <f>Data!E58</f>
        <v>46059.611620370371</v>
      </c>
      <c r="E59" s="56">
        <f t="shared" si="0"/>
        <v>0</v>
      </c>
      <c r="F59" s="12" t="str">
        <f>Data!F58</f>
        <v>Telematics device fault: Check device installation as the accelerometer was disabled due to excessive data</v>
      </c>
      <c r="G59" s="14" t="str">
        <f>Data!A58&amp;" "&amp;Data!F58</f>
        <v>Demo - 39 Telematics device fault: Check device installation as the accelerometer was disabled due to excessive data</v>
      </c>
      <c r="H59" s="56">
        <f>IF(COUNTIF($G$10:G59,G59)&gt;1,0,1)</f>
        <v>0</v>
      </c>
      <c r="I59" s="12" t="str">
        <f>IF(L59=FALSE,Data!J58," ")</f>
        <v xml:space="preserve"> </v>
      </c>
      <c r="J59" s="15" t="b">
        <f t="shared" si="1"/>
        <v>0</v>
      </c>
      <c r="K59" s="12" t="str">
        <f>Data!H58</f>
        <v>Telematics Device</v>
      </c>
      <c r="L59" s="15" t="b">
        <f t="shared" si="2"/>
        <v>1</v>
      </c>
      <c r="M59" s="14" t="str">
        <f>Data!I58</f>
        <v>Telematics device</v>
      </c>
      <c r="N59" s="15" t="str">
        <f>Data!G58</f>
        <v>265</v>
      </c>
      <c r="O59" s="15" t="b">
        <f t="shared" si="3"/>
        <v>1</v>
      </c>
      <c r="P59" s="12" t="str">
        <f>IF(Data!K58=FALSE(),"", Data!K58)</f>
        <v/>
      </c>
      <c r="Q59" s="12" t="str">
        <f>IF(Data!L58=FALSE(),"", Data!L58)</f>
        <v/>
      </c>
      <c r="R59" s="12" t="str">
        <f>IF(Data!M58=FALSE(),"", Data!M58)</f>
        <v/>
      </c>
      <c r="S59" s="12" t="str">
        <f>IF(Data!N58=FALSE(),"", Data!N58)</f>
        <v/>
      </c>
    </row>
    <row r="60" spans="1:19" ht="16.5">
      <c r="A60" s="12" t="str">
        <f>Data!A59</f>
        <v>Demo - 39</v>
      </c>
      <c r="B60" s="12" t="str">
        <f>Data!B59</f>
        <v>Vehicle, Company Group</v>
      </c>
      <c r="C60" s="12" t="str">
        <f>Data!D59</f>
        <v>b27</v>
      </c>
      <c r="D60" s="13">
        <f>Data!E59</f>
        <v>46060.408831018518</v>
      </c>
      <c r="E60" s="56">
        <f t="shared" si="0"/>
        <v>0</v>
      </c>
      <c r="F60" s="12" t="str">
        <f>Data!F59</f>
        <v>Telematics device fault: Check device installation as the accelerometer was disabled due to excessive data</v>
      </c>
      <c r="G60" s="14" t="str">
        <f>Data!A59&amp;" "&amp;Data!F59</f>
        <v>Demo - 39 Telematics device fault: Check device installation as the accelerometer was disabled due to excessive data</v>
      </c>
      <c r="H60" s="56">
        <f>IF(COUNTIF($G$10:G60,G60)&gt;1,0,1)</f>
        <v>0</v>
      </c>
      <c r="I60" s="12" t="str">
        <f>IF(L60=FALSE,Data!J59," ")</f>
        <v xml:space="preserve"> </v>
      </c>
      <c r="J60" s="15" t="b">
        <f t="shared" si="1"/>
        <v>0</v>
      </c>
      <c r="K60" s="12" t="str">
        <f>Data!H59</f>
        <v>Telematics Device</v>
      </c>
      <c r="L60" s="15" t="b">
        <f t="shared" si="2"/>
        <v>1</v>
      </c>
      <c r="M60" s="14" t="str">
        <f>Data!I59</f>
        <v>Telematics device</v>
      </c>
      <c r="N60" s="15" t="str">
        <f>Data!G59</f>
        <v>265</v>
      </c>
      <c r="O60" s="15" t="b">
        <f t="shared" si="3"/>
        <v>1</v>
      </c>
      <c r="P60" s="12" t="str">
        <f>IF(Data!K59=FALSE(),"", Data!K59)</f>
        <v/>
      </c>
      <c r="Q60" s="12" t="str">
        <f>IF(Data!L59=FALSE(),"", Data!L59)</f>
        <v/>
      </c>
      <c r="R60" s="12" t="str">
        <f>IF(Data!M59=FALSE(),"", Data!M59)</f>
        <v/>
      </c>
      <c r="S60" s="12" t="str">
        <f>IF(Data!N59=FALSE(),"", Data!N59)</f>
        <v/>
      </c>
    </row>
    <row r="61" spans="1:19" ht="16.5">
      <c r="A61" s="12" t="str">
        <f>Data!A60</f>
        <v>Demo - 39</v>
      </c>
      <c r="B61" s="12" t="str">
        <f>Data!B60</f>
        <v>Vehicle, Company Group</v>
      </c>
      <c r="C61" s="12" t="str">
        <f>Data!D60</f>
        <v>b27</v>
      </c>
      <c r="D61" s="13">
        <f>Data!E60</f>
        <v>46061.297314814816</v>
      </c>
      <c r="E61" s="56">
        <f t="shared" si="0"/>
        <v>0</v>
      </c>
      <c r="F61" s="12" t="str">
        <f>Data!F60</f>
        <v>Telematics device fault: Check device installation as the accelerometer was disabled due to excessive data</v>
      </c>
      <c r="G61" s="14" t="str">
        <f>Data!A60&amp;" "&amp;Data!F60</f>
        <v>Demo - 39 Telematics device fault: Check device installation as the accelerometer was disabled due to excessive data</v>
      </c>
      <c r="H61" s="56">
        <f>IF(COUNTIF($G$10:G61,G61)&gt;1,0,1)</f>
        <v>0</v>
      </c>
      <c r="I61" s="12" t="str">
        <f>IF(L61=FALSE,Data!J60," ")</f>
        <v xml:space="preserve"> </v>
      </c>
      <c r="J61" s="15" t="b">
        <f t="shared" si="1"/>
        <v>0</v>
      </c>
      <c r="K61" s="12" t="str">
        <f>Data!H60</f>
        <v>Telematics Device</v>
      </c>
      <c r="L61" s="15" t="b">
        <f t="shared" si="2"/>
        <v>1</v>
      </c>
      <c r="M61" s="14" t="str">
        <f>Data!I60</f>
        <v>Telematics device</v>
      </c>
      <c r="N61" s="15" t="str">
        <f>Data!G60</f>
        <v>265</v>
      </c>
      <c r="O61" s="15" t="b">
        <f t="shared" si="3"/>
        <v>1</v>
      </c>
      <c r="P61" s="12" t="str">
        <f>IF(Data!K60=FALSE(),"", Data!K60)</f>
        <v/>
      </c>
      <c r="Q61" s="12" t="str">
        <f>IF(Data!L60=FALSE(),"", Data!L60)</f>
        <v/>
      </c>
      <c r="R61" s="12" t="str">
        <f>IF(Data!M60=FALSE(),"", Data!M60)</f>
        <v/>
      </c>
      <c r="S61" s="12" t="str">
        <f>IF(Data!N60=FALSE(),"", Data!N60)</f>
        <v/>
      </c>
    </row>
    <row r="62" spans="1:19" ht="16.5">
      <c r="A62" s="12" t="str">
        <f>Data!A61</f>
        <v>Demo - 39</v>
      </c>
      <c r="B62" s="12" t="str">
        <f>Data!B61</f>
        <v>Vehicle, Company Group</v>
      </c>
      <c r="C62" s="12" t="str">
        <f>Data!D61</f>
        <v>b27</v>
      </c>
      <c r="D62" s="13">
        <f>Data!E61</f>
        <v>46061.384571759256</v>
      </c>
      <c r="E62" s="56">
        <f t="shared" si="0"/>
        <v>0</v>
      </c>
      <c r="F62" s="12" t="str">
        <f>Data!F61</f>
        <v>Telematics device fault: Check device installation as the accelerometer was disabled due to excessive data</v>
      </c>
      <c r="G62" s="14" t="str">
        <f>Data!A61&amp;" "&amp;Data!F61</f>
        <v>Demo - 39 Telematics device fault: Check device installation as the accelerometer was disabled due to excessive data</v>
      </c>
      <c r="H62" s="56">
        <f>IF(COUNTIF($G$10:G62,G62)&gt;1,0,1)</f>
        <v>0</v>
      </c>
      <c r="I62" s="12" t="str">
        <f>IF(L62=FALSE,Data!J61," ")</f>
        <v xml:space="preserve"> </v>
      </c>
      <c r="J62" s="15" t="b">
        <f t="shared" si="1"/>
        <v>0</v>
      </c>
      <c r="K62" s="12" t="str">
        <f>Data!H61</f>
        <v>Telematics Device</v>
      </c>
      <c r="L62" s="15" t="b">
        <f t="shared" si="2"/>
        <v>1</v>
      </c>
      <c r="M62" s="14" t="str">
        <f>Data!I61</f>
        <v>Telematics device</v>
      </c>
      <c r="N62" s="15" t="str">
        <f>Data!G61</f>
        <v>265</v>
      </c>
      <c r="O62" s="15" t="b">
        <f t="shared" si="3"/>
        <v>1</v>
      </c>
      <c r="P62" s="12" t="str">
        <f>IF(Data!K61=FALSE(),"", Data!K61)</f>
        <v/>
      </c>
      <c r="Q62" s="12" t="str">
        <f>IF(Data!L61=FALSE(),"", Data!L61)</f>
        <v/>
      </c>
      <c r="R62" s="12" t="str">
        <f>IF(Data!M61=FALSE(),"", Data!M61)</f>
        <v/>
      </c>
      <c r="S62" s="12" t="str">
        <f>IF(Data!N61=FALSE(),"", Data!N61)</f>
        <v/>
      </c>
    </row>
    <row r="63" spans="1:19" ht="16.5">
      <c r="A63" s="12" t="str">
        <f>Data!A62</f>
        <v>Demo - 39</v>
      </c>
      <c r="B63" s="12" t="str">
        <f>Data!B62</f>
        <v>Vehicle, Company Group</v>
      </c>
      <c r="C63" s="12" t="str">
        <f>Data!D62</f>
        <v>b27</v>
      </c>
      <c r="D63" s="13">
        <f>Data!E62</f>
        <v>46061.407407407409</v>
      </c>
      <c r="E63" s="56">
        <f t="shared" si="0"/>
        <v>0</v>
      </c>
      <c r="F63" s="12" t="str">
        <f>Data!F62</f>
        <v>Telematics device fault: Check device installation as the accelerometer was disabled due to excessive data</v>
      </c>
      <c r="G63" s="14" t="str">
        <f>Data!A62&amp;" "&amp;Data!F62</f>
        <v>Demo - 39 Telematics device fault: Check device installation as the accelerometer was disabled due to excessive data</v>
      </c>
      <c r="H63" s="56">
        <f>IF(COUNTIF($G$10:G63,G63)&gt;1,0,1)</f>
        <v>0</v>
      </c>
      <c r="I63" s="12" t="str">
        <f>IF(L63=FALSE,Data!J62," ")</f>
        <v xml:space="preserve"> </v>
      </c>
      <c r="J63" s="15" t="b">
        <f t="shared" si="1"/>
        <v>0</v>
      </c>
      <c r="K63" s="12" t="str">
        <f>Data!H62</f>
        <v>Telematics Device</v>
      </c>
      <c r="L63" s="15" t="b">
        <f t="shared" si="2"/>
        <v>1</v>
      </c>
      <c r="M63" s="14" t="str">
        <f>Data!I62</f>
        <v>Telematics device</v>
      </c>
      <c r="N63" s="15" t="str">
        <f>Data!G62</f>
        <v>265</v>
      </c>
      <c r="O63" s="15" t="b">
        <f t="shared" si="3"/>
        <v>1</v>
      </c>
      <c r="P63" s="12" t="str">
        <f>IF(Data!K62=FALSE(),"", Data!K62)</f>
        <v/>
      </c>
      <c r="Q63" s="12" t="str">
        <f>IF(Data!L62=FALSE(),"", Data!L62)</f>
        <v/>
      </c>
      <c r="R63" s="12" t="str">
        <f>IF(Data!M62=FALSE(),"", Data!M62)</f>
        <v/>
      </c>
      <c r="S63" s="12" t="str">
        <f>IF(Data!N62=FALSE(),"", Data!N62)</f>
        <v/>
      </c>
    </row>
    <row r="64" spans="1:19" ht="16.5">
      <c r="A64" s="12" t="str">
        <f>Data!A63</f>
        <v>Demo - 39</v>
      </c>
      <c r="B64" s="12" t="str">
        <f>Data!B63</f>
        <v>Vehicle, Company Group</v>
      </c>
      <c r="C64" s="12" t="str">
        <f>Data!D63</f>
        <v>b27</v>
      </c>
      <c r="D64" s="13">
        <f>Data!E63</f>
        <v>46061.431469907409</v>
      </c>
      <c r="E64" s="56">
        <f t="shared" si="0"/>
        <v>0</v>
      </c>
      <c r="F64" s="12" t="str">
        <f>Data!F63</f>
        <v>Telematics device fault: Check device installation as the accelerometer was disabled due to excessive data</v>
      </c>
      <c r="G64" s="14" t="str">
        <f>Data!A63&amp;" "&amp;Data!F63</f>
        <v>Demo - 39 Telematics device fault: Check device installation as the accelerometer was disabled due to excessive data</v>
      </c>
      <c r="H64" s="56">
        <f>IF(COUNTIF($G$10:G64,G64)&gt;1,0,1)</f>
        <v>0</v>
      </c>
      <c r="I64" s="12" t="str">
        <f>IF(L64=FALSE,Data!J63," ")</f>
        <v xml:space="preserve"> </v>
      </c>
      <c r="J64" s="15" t="b">
        <f t="shared" si="1"/>
        <v>0</v>
      </c>
      <c r="K64" s="12" t="str">
        <f>Data!H63</f>
        <v>Telematics Device</v>
      </c>
      <c r="L64" s="15" t="b">
        <f t="shared" si="2"/>
        <v>1</v>
      </c>
      <c r="M64" s="14" t="str">
        <f>Data!I63</f>
        <v>Telematics device</v>
      </c>
      <c r="N64" s="15" t="str">
        <f>Data!G63</f>
        <v>265</v>
      </c>
      <c r="O64" s="15" t="b">
        <f t="shared" si="3"/>
        <v>1</v>
      </c>
      <c r="P64" s="12" t="str">
        <f>IF(Data!K63=FALSE(),"", Data!K63)</f>
        <v/>
      </c>
      <c r="Q64" s="12" t="str">
        <f>IF(Data!L63=FALSE(),"", Data!L63)</f>
        <v/>
      </c>
      <c r="R64" s="12" t="str">
        <f>IF(Data!M63=FALSE(),"", Data!M63)</f>
        <v/>
      </c>
      <c r="S64" s="12" t="str">
        <f>IF(Data!N63=FALSE(),"", Data!N63)</f>
        <v/>
      </c>
    </row>
    <row r="65" spans="1:19" ht="16.5">
      <c r="A65" s="12" t="str">
        <f>Data!A64</f>
        <v>Demo - 39</v>
      </c>
      <c r="B65" s="12" t="str">
        <f>Data!B64</f>
        <v>Vehicle, Company Group</v>
      </c>
      <c r="C65" s="12" t="str">
        <f>Data!D64</f>
        <v>b27</v>
      </c>
      <c r="D65" s="13">
        <f>Data!E64</f>
        <v>46061.460729166669</v>
      </c>
      <c r="E65" s="56">
        <f t="shared" si="0"/>
        <v>0</v>
      </c>
      <c r="F65" s="12" t="str">
        <f>Data!F64</f>
        <v>Telematics device fault: Check device installation as the accelerometer was disabled due to excessive data</v>
      </c>
      <c r="G65" s="14" t="str">
        <f>Data!A64&amp;" "&amp;Data!F64</f>
        <v>Demo - 39 Telematics device fault: Check device installation as the accelerometer was disabled due to excessive data</v>
      </c>
      <c r="H65" s="56">
        <f>IF(COUNTIF($G$10:G65,G65)&gt;1,0,1)</f>
        <v>0</v>
      </c>
      <c r="I65" s="12" t="str">
        <f>IF(L65=FALSE,Data!J64," ")</f>
        <v xml:space="preserve"> </v>
      </c>
      <c r="J65" s="15" t="b">
        <f t="shared" si="1"/>
        <v>0</v>
      </c>
      <c r="K65" s="12" t="str">
        <f>Data!H64</f>
        <v>Telematics Device</v>
      </c>
      <c r="L65" s="15" t="b">
        <f t="shared" si="2"/>
        <v>1</v>
      </c>
      <c r="M65" s="14" t="str">
        <f>Data!I64</f>
        <v>Telematics device</v>
      </c>
      <c r="N65" s="15" t="str">
        <f>Data!G64</f>
        <v>265</v>
      </c>
      <c r="O65" s="15" t="b">
        <f t="shared" si="3"/>
        <v>1</v>
      </c>
      <c r="P65" s="12" t="str">
        <f>IF(Data!K64=FALSE(),"", Data!K64)</f>
        <v/>
      </c>
      <c r="Q65" s="12" t="str">
        <f>IF(Data!L64=FALSE(),"", Data!L64)</f>
        <v/>
      </c>
      <c r="R65" s="12" t="str">
        <f>IF(Data!M64=FALSE(),"", Data!M64)</f>
        <v/>
      </c>
      <c r="S65" s="12" t="str">
        <f>IF(Data!N64=FALSE(),"", Data!N64)</f>
        <v/>
      </c>
    </row>
    <row r="66" spans="1:19" ht="16.5">
      <c r="A66" s="12" t="str">
        <f>Data!A65</f>
        <v>Demo - 39</v>
      </c>
      <c r="B66" s="12" t="str">
        <f>Data!B65</f>
        <v>Vehicle, Company Group</v>
      </c>
      <c r="C66" s="12" t="str">
        <f>Data!D65</f>
        <v>b27</v>
      </c>
      <c r="D66" s="13">
        <f>Data!E65</f>
        <v>46061.489189814813</v>
      </c>
      <c r="E66" s="56">
        <f t="shared" si="0"/>
        <v>0</v>
      </c>
      <c r="F66" s="12" t="str">
        <f>Data!F65</f>
        <v>Telematics device fault: Check device installation as the accelerometer was disabled due to excessive data</v>
      </c>
      <c r="G66" s="14" t="str">
        <f>Data!A65&amp;" "&amp;Data!F65</f>
        <v>Demo - 39 Telematics device fault: Check device installation as the accelerometer was disabled due to excessive data</v>
      </c>
      <c r="H66" s="56">
        <f>IF(COUNTIF($G$10:G66,G66)&gt;1,0,1)</f>
        <v>0</v>
      </c>
      <c r="I66" s="12" t="str">
        <f>IF(L66=FALSE,Data!J65," ")</f>
        <v xml:space="preserve"> </v>
      </c>
      <c r="J66" s="15" t="b">
        <f t="shared" si="1"/>
        <v>0</v>
      </c>
      <c r="K66" s="12" t="str">
        <f>Data!H65</f>
        <v>Telematics Device</v>
      </c>
      <c r="L66" s="15" t="b">
        <f t="shared" si="2"/>
        <v>1</v>
      </c>
      <c r="M66" s="14" t="str">
        <f>Data!I65</f>
        <v>Telematics device</v>
      </c>
      <c r="N66" s="15" t="str">
        <f>Data!G65</f>
        <v>265</v>
      </c>
      <c r="O66" s="15" t="b">
        <f t="shared" si="3"/>
        <v>1</v>
      </c>
      <c r="P66" s="12" t="str">
        <f>IF(Data!K65=FALSE(),"", Data!K65)</f>
        <v/>
      </c>
      <c r="Q66" s="12" t="str">
        <f>IF(Data!L65=FALSE(),"", Data!L65)</f>
        <v/>
      </c>
      <c r="R66" s="12" t="str">
        <f>IF(Data!M65=FALSE(),"", Data!M65)</f>
        <v/>
      </c>
      <c r="S66" s="12" t="str">
        <f>IF(Data!N65=FALSE(),"", Data!N65)</f>
        <v/>
      </c>
    </row>
    <row r="67" spans="1:19" ht="16.5">
      <c r="A67" s="12" t="str">
        <f>Data!A66</f>
        <v>Demo - 39</v>
      </c>
      <c r="B67" s="12" t="str">
        <f>Data!B66</f>
        <v>Vehicle, Company Group</v>
      </c>
      <c r="C67" s="12" t="str">
        <f>Data!D66</f>
        <v>b27</v>
      </c>
      <c r="D67" s="13">
        <f>Data!E66</f>
        <v>46061.524756944447</v>
      </c>
      <c r="E67" s="56">
        <f t="shared" si="0"/>
        <v>0</v>
      </c>
      <c r="F67" s="12" t="str">
        <f>Data!F66</f>
        <v>Telematics device fault: Check device installation as the accelerometer was disabled due to excessive data</v>
      </c>
      <c r="G67" s="14" t="str">
        <f>Data!A66&amp;" "&amp;Data!F66</f>
        <v>Demo - 39 Telematics device fault: Check device installation as the accelerometer was disabled due to excessive data</v>
      </c>
      <c r="H67" s="56">
        <f>IF(COUNTIF($G$10:G67,G67)&gt;1,0,1)</f>
        <v>0</v>
      </c>
      <c r="I67" s="12" t="str">
        <f>IF(L67=FALSE,Data!J66," ")</f>
        <v xml:space="preserve"> </v>
      </c>
      <c r="J67" s="15" t="b">
        <f t="shared" si="1"/>
        <v>0</v>
      </c>
      <c r="K67" s="12" t="str">
        <f>Data!H66</f>
        <v>Telematics Device</v>
      </c>
      <c r="L67" s="15" t="b">
        <f t="shared" si="2"/>
        <v>1</v>
      </c>
      <c r="M67" s="14" t="str">
        <f>Data!I66</f>
        <v>Telematics device</v>
      </c>
      <c r="N67" s="15" t="str">
        <f>Data!G66</f>
        <v>265</v>
      </c>
      <c r="O67" s="15" t="b">
        <f t="shared" si="3"/>
        <v>1</v>
      </c>
      <c r="P67" s="12" t="str">
        <f>IF(Data!K66=FALSE(),"", Data!K66)</f>
        <v/>
      </c>
      <c r="Q67" s="12" t="str">
        <f>IF(Data!L66=FALSE(),"", Data!L66)</f>
        <v/>
      </c>
      <c r="R67" s="12" t="str">
        <f>IF(Data!M66=FALSE(),"", Data!M66)</f>
        <v/>
      </c>
      <c r="S67" s="12" t="str">
        <f>IF(Data!N66=FALSE(),"", Data!N66)</f>
        <v/>
      </c>
    </row>
    <row r="68" spans="1:19" ht="16.5">
      <c r="A68" s="12" t="str">
        <f>Data!A67</f>
        <v>Demo - 39</v>
      </c>
      <c r="B68" s="12" t="str">
        <f>Data!B67</f>
        <v>Vehicle, Company Group</v>
      </c>
      <c r="C68" s="12" t="str">
        <f>Data!D67</f>
        <v>b27</v>
      </c>
      <c r="D68" s="13">
        <f>Data!E67</f>
        <v>46061.538368055553</v>
      </c>
      <c r="E68" s="56">
        <f t="shared" si="0"/>
        <v>0</v>
      </c>
      <c r="F68" s="12" t="str">
        <f>Data!F67</f>
        <v>Telematics device fault: Check device installation as the accelerometer was disabled due to excessive data</v>
      </c>
      <c r="G68" s="14" t="str">
        <f>Data!A67&amp;" "&amp;Data!F67</f>
        <v>Demo - 39 Telematics device fault: Check device installation as the accelerometer was disabled due to excessive data</v>
      </c>
      <c r="H68" s="56">
        <f>IF(COUNTIF($G$10:G68,G68)&gt;1,0,1)</f>
        <v>0</v>
      </c>
      <c r="I68" s="12" t="str">
        <f>IF(L68=FALSE,Data!J67," ")</f>
        <v xml:space="preserve"> </v>
      </c>
      <c r="J68" s="15" t="b">
        <f t="shared" si="1"/>
        <v>0</v>
      </c>
      <c r="K68" s="12" t="str">
        <f>Data!H67</f>
        <v>Telematics Device</v>
      </c>
      <c r="L68" s="15" t="b">
        <f t="shared" si="2"/>
        <v>1</v>
      </c>
      <c r="M68" s="14" t="str">
        <f>Data!I67</f>
        <v>Telematics device</v>
      </c>
      <c r="N68" s="15" t="str">
        <f>Data!G67</f>
        <v>265</v>
      </c>
      <c r="O68" s="15" t="b">
        <f t="shared" si="3"/>
        <v>1</v>
      </c>
      <c r="P68" s="12" t="str">
        <f>IF(Data!K67=FALSE(),"", Data!K67)</f>
        <v/>
      </c>
      <c r="Q68" s="12" t="str">
        <f>IF(Data!L67=FALSE(),"", Data!L67)</f>
        <v/>
      </c>
      <c r="R68" s="12" t="str">
        <f>IF(Data!M67=FALSE(),"", Data!M67)</f>
        <v/>
      </c>
      <c r="S68" s="12" t="str">
        <f>IF(Data!N67=FALSE(),"", Data!N67)</f>
        <v/>
      </c>
    </row>
    <row r="69" spans="1:19" ht="16.5">
      <c r="A69" s="12" t="str">
        <f>Data!A68</f>
        <v>Demo - 39</v>
      </c>
      <c r="B69" s="12" t="str">
        <f>Data!B68</f>
        <v>Vehicle, Company Group</v>
      </c>
      <c r="C69" s="12" t="str">
        <f>Data!D68</f>
        <v>b27</v>
      </c>
      <c r="D69" s="13">
        <f>Data!E68</f>
        <v>46061.543668981481</v>
      </c>
      <c r="E69" s="56">
        <f t="shared" si="0"/>
        <v>0</v>
      </c>
      <c r="F69" s="12" t="str">
        <f>Data!F68</f>
        <v>Telematics device fault: Check device installation as the accelerometer was disabled due to excessive data</v>
      </c>
      <c r="G69" s="14" t="str">
        <f>Data!A68&amp;" "&amp;Data!F68</f>
        <v>Demo - 39 Telematics device fault: Check device installation as the accelerometer was disabled due to excessive data</v>
      </c>
      <c r="H69" s="56">
        <f>IF(COUNTIF($G$10:G69,G69)&gt;1,0,1)</f>
        <v>0</v>
      </c>
      <c r="I69" s="12" t="str">
        <f>IF(L69=FALSE,Data!J68," ")</f>
        <v xml:space="preserve"> </v>
      </c>
      <c r="J69" s="15" t="b">
        <f t="shared" si="1"/>
        <v>0</v>
      </c>
      <c r="K69" s="12" t="str">
        <f>Data!H68</f>
        <v>Telematics Device</v>
      </c>
      <c r="L69" s="15" t="b">
        <f t="shared" si="2"/>
        <v>1</v>
      </c>
      <c r="M69" s="14" t="str">
        <f>Data!I68</f>
        <v>Telematics device</v>
      </c>
      <c r="N69" s="15" t="str">
        <f>Data!G68</f>
        <v>265</v>
      </c>
      <c r="O69" s="15" t="b">
        <f t="shared" si="3"/>
        <v>1</v>
      </c>
      <c r="P69" s="12" t="str">
        <f>IF(Data!K68=FALSE(),"", Data!K68)</f>
        <v/>
      </c>
      <c r="Q69" s="12" t="str">
        <f>IF(Data!L68=FALSE(),"", Data!L68)</f>
        <v/>
      </c>
      <c r="R69" s="12" t="str">
        <f>IF(Data!M68=FALSE(),"", Data!M68)</f>
        <v/>
      </c>
      <c r="S69" s="12" t="str">
        <f>IF(Data!N68=FALSE(),"", Data!N68)</f>
        <v/>
      </c>
    </row>
    <row r="70" spans="1:19" ht="16.5">
      <c r="A70" s="12" t="str">
        <f>Data!A69</f>
        <v>Demo - 39</v>
      </c>
      <c r="B70" s="12" t="str">
        <f>Data!B69</f>
        <v>Vehicle, Company Group</v>
      </c>
      <c r="C70" s="12" t="str">
        <f>Data!D69</f>
        <v>b27</v>
      </c>
      <c r="D70" s="13">
        <f>Data!E69</f>
        <v>46061.567499999997</v>
      </c>
      <c r="E70" s="56">
        <f t="shared" si="0"/>
        <v>0</v>
      </c>
      <c r="F70" s="12" t="str">
        <f>Data!F69</f>
        <v>Telematics device fault: Check device installation as the accelerometer was disabled due to excessive data</v>
      </c>
      <c r="G70" s="14" t="str">
        <f>Data!A69&amp;" "&amp;Data!F69</f>
        <v>Demo - 39 Telematics device fault: Check device installation as the accelerometer was disabled due to excessive data</v>
      </c>
      <c r="H70" s="56">
        <f>IF(COUNTIF($G$10:G70,G70)&gt;1,0,1)</f>
        <v>0</v>
      </c>
      <c r="I70" s="12" t="str">
        <f>IF(L70=FALSE,Data!J69," ")</f>
        <v xml:space="preserve"> </v>
      </c>
      <c r="J70" s="15" t="b">
        <f t="shared" si="1"/>
        <v>0</v>
      </c>
      <c r="K70" s="12" t="str">
        <f>Data!H69</f>
        <v>Telematics Device</v>
      </c>
      <c r="L70" s="15" t="b">
        <f t="shared" si="2"/>
        <v>1</v>
      </c>
      <c r="M70" s="14" t="str">
        <f>Data!I69</f>
        <v>Telematics device</v>
      </c>
      <c r="N70" s="15" t="str">
        <f>Data!G69</f>
        <v>265</v>
      </c>
      <c r="O70" s="15" t="b">
        <f t="shared" si="3"/>
        <v>1</v>
      </c>
      <c r="P70" s="12" t="str">
        <f>IF(Data!K69=FALSE(),"", Data!K69)</f>
        <v/>
      </c>
      <c r="Q70" s="12" t="str">
        <f>IF(Data!L69=FALSE(),"", Data!L69)</f>
        <v/>
      </c>
      <c r="R70" s="12" t="str">
        <f>IF(Data!M69=FALSE(),"", Data!M69)</f>
        <v/>
      </c>
      <c r="S70" s="12" t="str">
        <f>IF(Data!N69=FALSE(),"", Data!N69)</f>
        <v/>
      </c>
    </row>
    <row r="71" spans="1:19" ht="16.5">
      <c r="A71" s="12" t="str">
        <f>Data!A70</f>
        <v>Demo - 39</v>
      </c>
      <c r="B71" s="12" t="str">
        <f>Data!B70</f>
        <v>Vehicle, Company Group</v>
      </c>
      <c r="C71" s="12" t="str">
        <f>Data!D70</f>
        <v>b27</v>
      </c>
      <c r="D71" s="13">
        <f>Data!E70</f>
        <v>46062.38925925926</v>
      </c>
      <c r="E71" s="56">
        <f t="shared" si="0"/>
        <v>0</v>
      </c>
      <c r="F71" s="12" t="str">
        <f>Data!F70</f>
        <v>Telematics device fault: Check device installation as the accelerometer was disabled due to excessive data</v>
      </c>
      <c r="G71" s="14" t="str">
        <f>Data!A70&amp;" "&amp;Data!F70</f>
        <v>Demo - 39 Telematics device fault: Check device installation as the accelerometer was disabled due to excessive data</v>
      </c>
      <c r="H71" s="56">
        <f>IF(COUNTIF($G$10:G71,G71)&gt;1,0,1)</f>
        <v>0</v>
      </c>
      <c r="I71" s="12" t="str">
        <f>IF(L71=FALSE,Data!J70," ")</f>
        <v xml:space="preserve"> </v>
      </c>
      <c r="J71" s="15" t="b">
        <f t="shared" si="1"/>
        <v>0</v>
      </c>
      <c r="K71" s="12" t="str">
        <f>Data!H70</f>
        <v>Telematics Device</v>
      </c>
      <c r="L71" s="15" t="b">
        <f t="shared" si="2"/>
        <v>1</v>
      </c>
      <c r="M71" s="14" t="str">
        <f>Data!I70</f>
        <v>Telematics device</v>
      </c>
      <c r="N71" s="15" t="str">
        <f>Data!G70</f>
        <v>265</v>
      </c>
      <c r="O71" s="15" t="b">
        <f t="shared" si="3"/>
        <v>1</v>
      </c>
      <c r="P71" s="12" t="str">
        <f>IF(Data!K70=FALSE(),"", Data!K70)</f>
        <v/>
      </c>
      <c r="Q71" s="12" t="str">
        <f>IF(Data!L70=FALSE(),"", Data!L70)</f>
        <v/>
      </c>
      <c r="R71" s="12" t="str">
        <f>IF(Data!M70=FALSE(),"", Data!M70)</f>
        <v/>
      </c>
      <c r="S71" s="12" t="str">
        <f>IF(Data!N70=FALSE(),"", Data!N70)</f>
        <v/>
      </c>
    </row>
    <row r="72" spans="1:19" ht="16.5">
      <c r="A72" s="12" t="str">
        <f>Data!A71</f>
        <v>Demo - 39</v>
      </c>
      <c r="B72" s="12" t="str">
        <f>Data!B71</f>
        <v>Vehicle, Company Group</v>
      </c>
      <c r="C72" s="12" t="str">
        <f>Data!D71</f>
        <v>b27</v>
      </c>
      <c r="D72" s="13">
        <f>Data!E71</f>
        <v>46062.424953703703</v>
      </c>
      <c r="E72" s="56">
        <f t="shared" si="0"/>
        <v>0</v>
      </c>
      <c r="F72" s="12" t="str">
        <f>Data!F71</f>
        <v>Telematics device fault: Check device installation as the accelerometer was disabled due to excessive data</v>
      </c>
      <c r="G72" s="14" t="str">
        <f>Data!A71&amp;" "&amp;Data!F71</f>
        <v>Demo - 39 Telematics device fault: Check device installation as the accelerometer was disabled due to excessive data</v>
      </c>
      <c r="H72" s="56">
        <f>IF(COUNTIF($G$10:G72,G72)&gt;1,0,1)</f>
        <v>0</v>
      </c>
      <c r="I72" s="12" t="str">
        <f>IF(L72=FALSE,Data!J71," ")</f>
        <v xml:space="preserve"> </v>
      </c>
      <c r="J72" s="15" t="b">
        <f t="shared" si="1"/>
        <v>0</v>
      </c>
      <c r="K72" s="12" t="str">
        <f>Data!H71</f>
        <v>Telematics Device</v>
      </c>
      <c r="L72" s="15" t="b">
        <f t="shared" si="2"/>
        <v>1</v>
      </c>
      <c r="M72" s="14" t="str">
        <f>Data!I71</f>
        <v>Telematics device</v>
      </c>
      <c r="N72" s="15" t="str">
        <f>Data!G71</f>
        <v>265</v>
      </c>
      <c r="O72" s="15" t="b">
        <f t="shared" si="3"/>
        <v>1</v>
      </c>
      <c r="P72" s="12" t="str">
        <f>IF(Data!K71=FALSE(),"", Data!K71)</f>
        <v/>
      </c>
      <c r="Q72" s="12" t="str">
        <f>IF(Data!L71=FALSE(),"", Data!L71)</f>
        <v/>
      </c>
      <c r="R72" s="12" t="str">
        <f>IF(Data!M71=FALSE(),"", Data!M71)</f>
        <v/>
      </c>
      <c r="S72" s="12" t="str">
        <f>IF(Data!N71=FALSE(),"", Data!N71)</f>
        <v/>
      </c>
    </row>
    <row r="73" spans="1:19" ht="16.5">
      <c r="A73" s="12" t="str">
        <f>Data!A72</f>
        <v>Demo - 39</v>
      </c>
      <c r="B73" s="12" t="str">
        <f>Data!B72</f>
        <v>Vehicle, Company Group</v>
      </c>
      <c r="C73" s="12" t="str">
        <f>Data!D72</f>
        <v>b27</v>
      </c>
      <c r="D73" s="13">
        <f>Data!E72</f>
        <v>46062.457569444443</v>
      </c>
      <c r="E73" s="56">
        <f t="shared" si="0"/>
        <v>0</v>
      </c>
      <c r="F73" s="12" t="str">
        <f>Data!F72</f>
        <v>Telematics device fault: Check device installation as the accelerometer was disabled due to excessive data</v>
      </c>
      <c r="G73" s="14" t="str">
        <f>Data!A72&amp;" "&amp;Data!F72</f>
        <v>Demo - 39 Telematics device fault: Check device installation as the accelerometer was disabled due to excessive data</v>
      </c>
      <c r="H73" s="56">
        <f>IF(COUNTIF($G$10:G73,G73)&gt;1,0,1)</f>
        <v>0</v>
      </c>
      <c r="I73" s="12" t="str">
        <f>IF(L73=FALSE,Data!J72," ")</f>
        <v xml:space="preserve"> </v>
      </c>
      <c r="J73" s="15" t="b">
        <f t="shared" si="1"/>
        <v>0</v>
      </c>
      <c r="K73" s="12" t="str">
        <f>Data!H72</f>
        <v>Telematics Device</v>
      </c>
      <c r="L73" s="15" t="b">
        <f t="shared" si="2"/>
        <v>1</v>
      </c>
      <c r="M73" s="14" t="str">
        <f>Data!I72</f>
        <v>Telematics device</v>
      </c>
      <c r="N73" s="15" t="str">
        <f>Data!G72</f>
        <v>265</v>
      </c>
      <c r="O73" s="15" t="b">
        <f t="shared" si="3"/>
        <v>1</v>
      </c>
      <c r="P73" s="12" t="str">
        <f>IF(Data!K72=FALSE(),"", Data!K72)</f>
        <v/>
      </c>
      <c r="Q73" s="12" t="str">
        <f>IF(Data!L72=FALSE(),"", Data!L72)</f>
        <v/>
      </c>
      <c r="R73" s="12" t="str">
        <f>IF(Data!M72=FALSE(),"", Data!M72)</f>
        <v/>
      </c>
      <c r="S73" s="12" t="str">
        <f>IF(Data!N72=FALSE(),"", Data!N72)</f>
        <v/>
      </c>
    </row>
    <row r="74" spans="1:19" ht="16.5">
      <c r="A74" s="12" t="str">
        <f>Data!A73</f>
        <v>Demo - 39</v>
      </c>
      <c r="B74" s="12" t="str">
        <f>Data!B73</f>
        <v>Vehicle, Company Group</v>
      </c>
      <c r="C74" s="12" t="str">
        <f>Data!D73</f>
        <v>b27</v>
      </c>
      <c r="D74" s="13">
        <f>Data!E73</f>
        <v>46062.504016203704</v>
      </c>
      <c r="E74" s="56">
        <f t="shared" ref="E74:E137" si="4">IF(L74=FALSE,1,0)</f>
        <v>0</v>
      </c>
      <c r="F74" s="12" t="str">
        <f>Data!F73</f>
        <v>Telematics device fault: Check device installation as the accelerometer was disabled due to excessive data</v>
      </c>
      <c r="G74" s="14" t="str">
        <f>Data!A73&amp;" "&amp;Data!F73</f>
        <v>Demo - 39 Telematics device fault: Check device installation as the accelerometer was disabled due to excessive data</v>
      </c>
      <c r="H74" s="56">
        <f>IF(COUNTIF($G$10:G74,G74)&gt;1,0,1)</f>
        <v>0</v>
      </c>
      <c r="I74" s="12" t="str">
        <f>IF(L74=FALSE,Data!J73," ")</f>
        <v xml:space="preserve"> </v>
      </c>
      <c r="J74" s="15" t="b">
        <f t="shared" ref="J74:J137" si="5">ISNUMBER(SEARCH("active",I74))</f>
        <v>0</v>
      </c>
      <c r="K74" s="12" t="str">
        <f>Data!H73</f>
        <v>Telematics Device</v>
      </c>
      <c r="L74" s="15" t="b">
        <f t="shared" ref="L74:L137" si="6">OR(ISNUMBER(SEARCH("telematics",M74)),ISNUMBER(SEARCH("device",M74)))</f>
        <v>1</v>
      </c>
      <c r="M74" s="14" t="str">
        <f>Data!I73</f>
        <v>Telematics device</v>
      </c>
      <c r="N74" s="15" t="str">
        <f>Data!G73</f>
        <v>265</v>
      </c>
      <c r="O74" s="15" t="b">
        <f t="shared" ref="O74:O137" si="7">IF(ISBLANK(A74)=TRUE,FALSE,TRUE)</f>
        <v>1</v>
      </c>
      <c r="P74" s="12" t="str">
        <f>IF(Data!K73=FALSE(),"", Data!K73)</f>
        <v/>
      </c>
      <c r="Q74" s="12" t="str">
        <f>IF(Data!L73=FALSE(),"", Data!L73)</f>
        <v/>
      </c>
      <c r="R74" s="12" t="str">
        <f>IF(Data!M73=FALSE(),"", Data!M73)</f>
        <v/>
      </c>
      <c r="S74" s="12" t="str">
        <f>IF(Data!N73=FALSE(),"", Data!N73)</f>
        <v/>
      </c>
    </row>
    <row r="75" spans="1:19" ht="16.5">
      <c r="A75" s="12" t="str">
        <f>Data!A74</f>
        <v>Demo - 39</v>
      </c>
      <c r="B75" s="12" t="str">
        <f>Data!B74</f>
        <v>Vehicle, Company Group</v>
      </c>
      <c r="C75" s="12" t="str">
        <f>Data!D74</f>
        <v>b27</v>
      </c>
      <c r="D75" s="13">
        <f>Data!E74</f>
        <v>46062.53460648148</v>
      </c>
      <c r="E75" s="56">
        <f t="shared" si="4"/>
        <v>0</v>
      </c>
      <c r="F75" s="12" t="str">
        <f>Data!F74</f>
        <v>Telematics device fault: Check device installation as the accelerometer was disabled due to excessive data</v>
      </c>
      <c r="G75" s="14" t="str">
        <f>Data!A74&amp;" "&amp;Data!F74</f>
        <v>Demo - 39 Telematics device fault: Check device installation as the accelerometer was disabled due to excessive data</v>
      </c>
      <c r="H75" s="56">
        <f>IF(COUNTIF($G$10:G75,G75)&gt;1,0,1)</f>
        <v>0</v>
      </c>
      <c r="I75" s="12" t="str">
        <f>IF(L75=FALSE,Data!J74," ")</f>
        <v xml:space="preserve"> </v>
      </c>
      <c r="J75" s="15" t="b">
        <f t="shared" si="5"/>
        <v>0</v>
      </c>
      <c r="K75" s="12" t="str">
        <f>Data!H74</f>
        <v>Telematics Device</v>
      </c>
      <c r="L75" s="15" t="b">
        <f t="shared" si="6"/>
        <v>1</v>
      </c>
      <c r="M75" s="14" t="str">
        <f>Data!I74</f>
        <v>Telematics device</v>
      </c>
      <c r="N75" s="15" t="str">
        <f>Data!G74</f>
        <v>265</v>
      </c>
      <c r="O75" s="15" t="b">
        <f t="shared" si="7"/>
        <v>1</v>
      </c>
      <c r="P75" s="12" t="str">
        <f>IF(Data!K74=FALSE(),"", Data!K74)</f>
        <v/>
      </c>
      <c r="Q75" s="12" t="str">
        <f>IF(Data!L74=FALSE(),"", Data!L74)</f>
        <v/>
      </c>
      <c r="R75" s="12" t="str">
        <f>IF(Data!M74=FALSE(),"", Data!M74)</f>
        <v/>
      </c>
      <c r="S75" s="12" t="str">
        <f>IF(Data!N74=FALSE(),"", Data!N74)</f>
        <v/>
      </c>
    </row>
    <row r="76" spans="1:19" ht="16.5">
      <c r="A76" s="12" t="str">
        <f>Data!A75</f>
        <v>Demo - 39</v>
      </c>
      <c r="B76" s="12" t="str">
        <f>Data!B75</f>
        <v>Vehicle, Company Group</v>
      </c>
      <c r="C76" s="12" t="str">
        <f>Data!D75</f>
        <v>b27</v>
      </c>
      <c r="D76" s="13">
        <f>Data!E75</f>
        <v>46062.558599537035</v>
      </c>
      <c r="E76" s="56">
        <f t="shared" si="4"/>
        <v>0</v>
      </c>
      <c r="F76" s="12" t="str">
        <f>Data!F75</f>
        <v>Telematics device fault: Check device installation as the accelerometer was disabled due to excessive data</v>
      </c>
      <c r="G76" s="14" t="str">
        <f>Data!A75&amp;" "&amp;Data!F75</f>
        <v>Demo - 39 Telematics device fault: Check device installation as the accelerometer was disabled due to excessive data</v>
      </c>
      <c r="H76" s="56">
        <f>IF(COUNTIF($G$10:G76,G76)&gt;1,0,1)</f>
        <v>0</v>
      </c>
      <c r="I76" s="12" t="str">
        <f>IF(L76=FALSE,Data!J75," ")</f>
        <v xml:space="preserve"> </v>
      </c>
      <c r="J76" s="15" t="b">
        <f t="shared" si="5"/>
        <v>0</v>
      </c>
      <c r="K76" s="12" t="str">
        <f>Data!H75</f>
        <v>Telematics Device</v>
      </c>
      <c r="L76" s="15" t="b">
        <f t="shared" si="6"/>
        <v>1</v>
      </c>
      <c r="M76" s="14" t="str">
        <f>Data!I75</f>
        <v>Telematics device</v>
      </c>
      <c r="N76" s="15" t="str">
        <f>Data!G75</f>
        <v>265</v>
      </c>
      <c r="O76" s="15" t="b">
        <f t="shared" si="7"/>
        <v>1</v>
      </c>
      <c r="P76" s="12" t="str">
        <f>IF(Data!K75=FALSE(),"", Data!K75)</f>
        <v/>
      </c>
      <c r="Q76" s="12" t="str">
        <f>IF(Data!L75=FALSE(),"", Data!L75)</f>
        <v/>
      </c>
      <c r="R76" s="12" t="str">
        <f>IF(Data!M75=FALSE(),"", Data!M75)</f>
        <v/>
      </c>
      <c r="S76" s="12" t="str">
        <f>IF(Data!N75=FALSE(),"", Data!N75)</f>
        <v/>
      </c>
    </row>
    <row r="77" spans="1:19" ht="16.5">
      <c r="A77" s="12" t="str">
        <f>Data!A76</f>
        <v>Demo - 39</v>
      </c>
      <c r="B77" s="12" t="str">
        <f>Data!B76</f>
        <v>Vehicle, Company Group</v>
      </c>
      <c r="C77" s="12" t="str">
        <f>Data!D76</f>
        <v>b27</v>
      </c>
      <c r="D77" s="13">
        <f>Data!E76</f>
        <v>46062.571493055555</v>
      </c>
      <c r="E77" s="56">
        <f t="shared" si="4"/>
        <v>0</v>
      </c>
      <c r="F77" s="12" t="str">
        <f>Data!F76</f>
        <v>Telematics device fault: Check device installation as the accelerometer was disabled due to excessive data</v>
      </c>
      <c r="G77" s="14" t="str">
        <f>Data!A76&amp;" "&amp;Data!F76</f>
        <v>Demo - 39 Telematics device fault: Check device installation as the accelerometer was disabled due to excessive data</v>
      </c>
      <c r="H77" s="56">
        <f>IF(COUNTIF($G$10:G77,G77)&gt;1,0,1)</f>
        <v>0</v>
      </c>
      <c r="I77" s="12" t="str">
        <f>IF(L77=FALSE,Data!J76," ")</f>
        <v xml:space="preserve"> </v>
      </c>
      <c r="J77" s="15" t="b">
        <f t="shared" si="5"/>
        <v>0</v>
      </c>
      <c r="K77" s="12" t="str">
        <f>Data!H76</f>
        <v>Telematics Device</v>
      </c>
      <c r="L77" s="15" t="b">
        <f t="shared" si="6"/>
        <v>1</v>
      </c>
      <c r="M77" s="14" t="str">
        <f>Data!I76</f>
        <v>Telematics device</v>
      </c>
      <c r="N77" s="15" t="str">
        <f>Data!G76</f>
        <v>265</v>
      </c>
      <c r="O77" s="15" t="b">
        <f t="shared" si="7"/>
        <v>1</v>
      </c>
      <c r="P77" s="12" t="str">
        <f>IF(Data!K76=FALSE(),"", Data!K76)</f>
        <v/>
      </c>
      <c r="Q77" s="12" t="str">
        <f>IF(Data!L76=FALSE(),"", Data!L76)</f>
        <v/>
      </c>
      <c r="R77" s="12" t="str">
        <f>IF(Data!M76=FALSE(),"", Data!M76)</f>
        <v/>
      </c>
      <c r="S77" s="12" t="str">
        <f>IF(Data!N76=FALSE(),"", Data!N76)</f>
        <v/>
      </c>
    </row>
    <row r="78" spans="1:19" ht="16.5">
      <c r="A78" s="12" t="str">
        <f>Data!A77</f>
        <v>Demo - 39</v>
      </c>
      <c r="B78" s="12" t="str">
        <f>Data!B77</f>
        <v>Vehicle, Company Group</v>
      </c>
      <c r="C78" s="12" t="str">
        <f>Data!D77</f>
        <v>b27</v>
      </c>
      <c r="D78" s="13">
        <f>Data!E77</f>
        <v>46062.599004629628</v>
      </c>
      <c r="E78" s="56">
        <f t="shared" si="4"/>
        <v>0</v>
      </c>
      <c r="F78" s="12" t="str">
        <f>Data!F77</f>
        <v>Telematics device fault: Check device installation as the accelerometer was disabled due to excessive data</v>
      </c>
      <c r="G78" s="14" t="str">
        <f>Data!A77&amp;" "&amp;Data!F77</f>
        <v>Demo - 39 Telematics device fault: Check device installation as the accelerometer was disabled due to excessive data</v>
      </c>
      <c r="H78" s="56">
        <f>IF(COUNTIF($G$10:G78,G78)&gt;1,0,1)</f>
        <v>0</v>
      </c>
      <c r="I78" s="12" t="str">
        <f>IF(L78=FALSE,Data!J77," ")</f>
        <v xml:space="preserve"> </v>
      </c>
      <c r="J78" s="15" t="b">
        <f t="shared" si="5"/>
        <v>0</v>
      </c>
      <c r="K78" s="12" t="str">
        <f>Data!H77</f>
        <v>Telematics Device</v>
      </c>
      <c r="L78" s="15" t="b">
        <f t="shared" si="6"/>
        <v>1</v>
      </c>
      <c r="M78" s="14" t="str">
        <f>Data!I77</f>
        <v>Telematics device</v>
      </c>
      <c r="N78" s="15" t="str">
        <f>Data!G77</f>
        <v>265</v>
      </c>
      <c r="O78" s="15" t="b">
        <f t="shared" si="7"/>
        <v>1</v>
      </c>
      <c r="P78" s="12" t="str">
        <f>IF(Data!K77=FALSE(),"", Data!K77)</f>
        <v/>
      </c>
      <c r="Q78" s="12" t="str">
        <f>IF(Data!L77=FALSE(),"", Data!L77)</f>
        <v/>
      </c>
      <c r="R78" s="12" t="str">
        <f>IF(Data!M77=FALSE(),"", Data!M77)</f>
        <v/>
      </c>
      <c r="S78" s="12" t="str">
        <f>IF(Data!N77=FALSE(),"", Data!N77)</f>
        <v/>
      </c>
    </row>
    <row r="79" spans="1:19" ht="16.5">
      <c r="A79" s="12" t="str">
        <f>Data!A78</f>
        <v>Demo - 39</v>
      </c>
      <c r="B79" s="12" t="str">
        <f>Data!B78</f>
        <v>Vehicle, Company Group</v>
      </c>
      <c r="C79" s="12" t="str">
        <f>Data!D78</f>
        <v>b27</v>
      </c>
      <c r="D79" s="13">
        <f>Data!E78</f>
        <v>46063.609305555554</v>
      </c>
      <c r="E79" s="56">
        <f t="shared" si="4"/>
        <v>0</v>
      </c>
      <c r="F79" s="12" t="str">
        <f>Data!F78</f>
        <v>Telematics device fault: Check device installation as the accelerometer was disabled due to excessive data</v>
      </c>
      <c r="G79" s="14" t="str">
        <f>Data!A78&amp;" "&amp;Data!F78</f>
        <v>Demo - 39 Telematics device fault: Check device installation as the accelerometer was disabled due to excessive data</v>
      </c>
      <c r="H79" s="56">
        <f>IF(COUNTIF($G$10:G79,G79)&gt;1,0,1)</f>
        <v>0</v>
      </c>
      <c r="I79" s="12" t="str">
        <f>IF(L79=FALSE,Data!J78," ")</f>
        <v xml:space="preserve"> </v>
      </c>
      <c r="J79" s="15" t="b">
        <f t="shared" si="5"/>
        <v>0</v>
      </c>
      <c r="K79" s="12" t="str">
        <f>Data!H78</f>
        <v>Telematics Device</v>
      </c>
      <c r="L79" s="15" t="b">
        <f t="shared" si="6"/>
        <v>1</v>
      </c>
      <c r="M79" s="14" t="str">
        <f>Data!I78</f>
        <v>Telematics device</v>
      </c>
      <c r="N79" s="15" t="str">
        <f>Data!G78</f>
        <v>265</v>
      </c>
      <c r="O79" s="15" t="b">
        <f t="shared" si="7"/>
        <v>1</v>
      </c>
      <c r="P79" s="12" t="str">
        <f>IF(Data!K78=FALSE(),"", Data!K78)</f>
        <v/>
      </c>
      <c r="Q79" s="12" t="str">
        <f>IF(Data!L78=FALSE(),"", Data!L78)</f>
        <v/>
      </c>
      <c r="R79" s="12" t="str">
        <f>IF(Data!M78=FALSE(),"", Data!M78)</f>
        <v/>
      </c>
      <c r="S79" s="12" t="str">
        <f>IF(Data!N78=FALSE(),"", Data!N78)</f>
        <v/>
      </c>
    </row>
    <row r="80" spans="1:19" ht="16.5">
      <c r="A80" s="12" t="str">
        <f>Data!A79</f>
        <v>Demo - 39</v>
      </c>
      <c r="B80" s="12" t="str">
        <f>Data!B79</f>
        <v>Vehicle, Company Group</v>
      </c>
      <c r="C80" s="12" t="str">
        <f>Data!D79</f>
        <v>b27</v>
      </c>
      <c r="D80" s="13">
        <f>Data!E79</f>
        <v>46063.616122685184</v>
      </c>
      <c r="E80" s="56">
        <f t="shared" si="4"/>
        <v>0</v>
      </c>
      <c r="F80" s="12" t="str">
        <f>Data!F79</f>
        <v>Telematics device fault: Check device installation as the accelerometer was disabled due to excessive data</v>
      </c>
      <c r="G80" s="14" t="str">
        <f>Data!A79&amp;" "&amp;Data!F79</f>
        <v>Demo - 39 Telematics device fault: Check device installation as the accelerometer was disabled due to excessive data</v>
      </c>
      <c r="H80" s="56">
        <f>IF(COUNTIF($G$10:G80,G80)&gt;1,0,1)</f>
        <v>0</v>
      </c>
      <c r="I80" s="12" t="str">
        <f>IF(L80=FALSE,Data!J79," ")</f>
        <v xml:space="preserve"> </v>
      </c>
      <c r="J80" s="15" t="b">
        <f t="shared" si="5"/>
        <v>0</v>
      </c>
      <c r="K80" s="12" t="str">
        <f>Data!H79</f>
        <v>Telematics Device</v>
      </c>
      <c r="L80" s="15" t="b">
        <f t="shared" si="6"/>
        <v>1</v>
      </c>
      <c r="M80" s="14" t="str">
        <f>Data!I79</f>
        <v>Telematics device</v>
      </c>
      <c r="N80" s="15" t="str">
        <f>Data!G79</f>
        <v>265</v>
      </c>
      <c r="O80" s="15" t="b">
        <f t="shared" si="7"/>
        <v>1</v>
      </c>
      <c r="P80" s="12" t="str">
        <f>IF(Data!K79=FALSE(),"", Data!K79)</f>
        <v/>
      </c>
      <c r="Q80" s="12" t="str">
        <f>IF(Data!L79=FALSE(),"", Data!L79)</f>
        <v/>
      </c>
      <c r="R80" s="12" t="str">
        <f>IF(Data!M79=FALSE(),"", Data!M79)</f>
        <v/>
      </c>
      <c r="S80" s="12" t="str">
        <f>IF(Data!N79=FALSE(),"", Data!N79)</f>
        <v/>
      </c>
    </row>
    <row r="81" spans="1:19" ht="16.5">
      <c r="A81" s="12" t="str">
        <f>Data!A80</f>
        <v>Demo - 39</v>
      </c>
      <c r="B81" s="12" t="str">
        <f>Data!B80</f>
        <v>Vehicle, Company Group</v>
      </c>
      <c r="C81" s="12" t="str">
        <f>Data!D80</f>
        <v>b27</v>
      </c>
      <c r="D81" s="13">
        <f>Data!E80</f>
        <v>46063.768472222226</v>
      </c>
      <c r="E81" s="56">
        <f t="shared" si="4"/>
        <v>0</v>
      </c>
      <c r="F81" s="12" t="str">
        <f>Data!F80</f>
        <v>Telematics device fault: Check device installation as the accelerometer was disabled due to excessive data</v>
      </c>
      <c r="G81" s="14" t="str">
        <f>Data!A80&amp;" "&amp;Data!F80</f>
        <v>Demo - 39 Telematics device fault: Check device installation as the accelerometer was disabled due to excessive data</v>
      </c>
      <c r="H81" s="56">
        <f>IF(COUNTIF($G$10:G81,G81)&gt;1,0,1)</f>
        <v>0</v>
      </c>
      <c r="I81" s="12" t="str">
        <f>IF(L81=FALSE,Data!J80," ")</f>
        <v xml:space="preserve"> </v>
      </c>
      <c r="J81" s="15" t="b">
        <f t="shared" si="5"/>
        <v>0</v>
      </c>
      <c r="K81" s="12" t="str">
        <f>Data!H80</f>
        <v>Telematics Device</v>
      </c>
      <c r="L81" s="15" t="b">
        <f t="shared" si="6"/>
        <v>1</v>
      </c>
      <c r="M81" s="14" t="str">
        <f>Data!I80</f>
        <v>Telematics device</v>
      </c>
      <c r="N81" s="15" t="str">
        <f>Data!G80</f>
        <v>265</v>
      </c>
      <c r="O81" s="15" t="b">
        <f t="shared" si="7"/>
        <v>1</v>
      </c>
      <c r="P81" s="12" t="str">
        <f>IF(Data!K80=FALSE(),"", Data!K80)</f>
        <v/>
      </c>
      <c r="Q81" s="12" t="str">
        <f>IF(Data!L80=FALSE(),"", Data!L80)</f>
        <v/>
      </c>
      <c r="R81" s="12" t="str">
        <f>IF(Data!M80=FALSE(),"", Data!M80)</f>
        <v/>
      </c>
      <c r="S81" s="12" t="str">
        <f>IF(Data!N80=FALSE(),"", Data!N80)</f>
        <v/>
      </c>
    </row>
    <row r="82" spans="1:19" ht="16.5">
      <c r="A82" s="12" t="str">
        <f>Data!A81</f>
        <v>Demo - 39</v>
      </c>
      <c r="B82" s="12" t="str">
        <f>Data!B81</f>
        <v>Vehicle, Company Group</v>
      </c>
      <c r="C82" s="12" t="str">
        <f>Data!D81</f>
        <v>b27</v>
      </c>
      <c r="D82" s="13">
        <f>Data!E81</f>
        <v>46063.788807870369</v>
      </c>
      <c r="E82" s="56">
        <f t="shared" si="4"/>
        <v>0</v>
      </c>
      <c r="F82" s="12" t="str">
        <f>Data!F81</f>
        <v>Telematics device fault: Check device installation as the accelerometer was disabled due to excessive data</v>
      </c>
      <c r="G82" s="14" t="str">
        <f>Data!A81&amp;" "&amp;Data!F81</f>
        <v>Demo - 39 Telematics device fault: Check device installation as the accelerometer was disabled due to excessive data</v>
      </c>
      <c r="H82" s="56">
        <f>IF(COUNTIF($G$10:G82,G82)&gt;1,0,1)</f>
        <v>0</v>
      </c>
      <c r="I82" s="12" t="str">
        <f>IF(L82=FALSE,Data!J81," ")</f>
        <v xml:space="preserve"> </v>
      </c>
      <c r="J82" s="15" t="b">
        <f t="shared" si="5"/>
        <v>0</v>
      </c>
      <c r="K82" s="12" t="str">
        <f>Data!H81</f>
        <v>Telematics Device</v>
      </c>
      <c r="L82" s="15" t="b">
        <f t="shared" si="6"/>
        <v>1</v>
      </c>
      <c r="M82" s="14" t="str">
        <f>Data!I81</f>
        <v>Telematics device</v>
      </c>
      <c r="N82" s="15" t="str">
        <f>Data!G81</f>
        <v>265</v>
      </c>
      <c r="O82" s="15" t="b">
        <f t="shared" si="7"/>
        <v>1</v>
      </c>
      <c r="P82" s="12" t="str">
        <f>IF(Data!K81=FALSE(),"", Data!K81)</f>
        <v/>
      </c>
      <c r="Q82" s="12" t="str">
        <f>IF(Data!L81=FALSE(),"", Data!L81)</f>
        <v/>
      </c>
      <c r="R82" s="12" t="str">
        <f>IF(Data!M81=FALSE(),"", Data!M81)</f>
        <v/>
      </c>
      <c r="S82" s="12" t="str">
        <f>IF(Data!N81=FALSE(),"", Data!N81)</f>
        <v/>
      </c>
    </row>
    <row r="83" spans="1:19" ht="16.5">
      <c r="A83" s="12" t="str">
        <f>Data!A82</f>
        <v>Demo - 39</v>
      </c>
      <c r="B83" s="12" t="str">
        <f>Data!B82</f>
        <v>Vehicle, Company Group</v>
      </c>
      <c r="C83" s="12" t="str">
        <f>Data!D82</f>
        <v>b27</v>
      </c>
      <c r="D83" s="13">
        <f>Data!E82</f>
        <v>46063.823148148149</v>
      </c>
      <c r="E83" s="56">
        <f t="shared" si="4"/>
        <v>0</v>
      </c>
      <c r="F83" s="12" t="str">
        <f>Data!F82</f>
        <v>Telematics device fault: Check device installation as the accelerometer was disabled due to excessive data</v>
      </c>
      <c r="G83" s="14" t="str">
        <f>Data!A82&amp;" "&amp;Data!F82</f>
        <v>Demo - 39 Telematics device fault: Check device installation as the accelerometer was disabled due to excessive data</v>
      </c>
      <c r="H83" s="56">
        <f>IF(COUNTIF($G$10:G83,G83)&gt;1,0,1)</f>
        <v>0</v>
      </c>
      <c r="I83" s="12" t="str">
        <f>IF(L83=FALSE,Data!J82," ")</f>
        <v xml:space="preserve"> </v>
      </c>
      <c r="J83" s="15" t="b">
        <f t="shared" si="5"/>
        <v>0</v>
      </c>
      <c r="K83" s="12" t="str">
        <f>Data!H82</f>
        <v>Telematics Device</v>
      </c>
      <c r="L83" s="15" t="b">
        <f t="shared" si="6"/>
        <v>1</v>
      </c>
      <c r="M83" s="14" t="str">
        <f>Data!I82</f>
        <v>Telematics device</v>
      </c>
      <c r="N83" s="15" t="str">
        <f>Data!G82</f>
        <v>265</v>
      </c>
      <c r="O83" s="15" t="b">
        <f t="shared" si="7"/>
        <v>1</v>
      </c>
      <c r="P83" s="12" t="str">
        <f>IF(Data!K82=FALSE(),"", Data!K82)</f>
        <v/>
      </c>
      <c r="Q83" s="12" t="str">
        <f>IF(Data!L82=FALSE(),"", Data!L82)</f>
        <v/>
      </c>
      <c r="R83" s="12" t="str">
        <f>IF(Data!M82=FALSE(),"", Data!M82)</f>
        <v/>
      </c>
      <c r="S83" s="12" t="str">
        <f>IF(Data!N82=FALSE(),"", Data!N82)</f>
        <v/>
      </c>
    </row>
    <row r="84" spans="1:19" ht="16.5">
      <c r="A84" s="12" t="str">
        <f>Data!A83</f>
        <v>Demo - 39</v>
      </c>
      <c r="B84" s="12" t="str">
        <f>Data!B83</f>
        <v>Vehicle, Company Group</v>
      </c>
      <c r="C84" s="12" t="str">
        <f>Data!D83</f>
        <v>b27</v>
      </c>
      <c r="D84" s="13">
        <f>Data!E83</f>
        <v>46063.864259259259</v>
      </c>
      <c r="E84" s="56">
        <f t="shared" si="4"/>
        <v>0</v>
      </c>
      <c r="F84" s="12" t="str">
        <f>Data!F83</f>
        <v>Telematics device fault: Check device installation as the accelerometer was disabled due to excessive data</v>
      </c>
      <c r="G84" s="14" t="str">
        <f>Data!A83&amp;" "&amp;Data!F83</f>
        <v>Demo - 39 Telematics device fault: Check device installation as the accelerometer was disabled due to excessive data</v>
      </c>
      <c r="H84" s="56">
        <f>IF(COUNTIF($G$10:G84,G84)&gt;1,0,1)</f>
        <v>0</v>
      </c>
      <c r="I84" s="12" t="str">
        <f>IF(L84=FALSE,Data!J83," ")</f>
        <v xml:space="preserve"> </v>
      </c>
      <c r="J84" s="15" t="b">
        <f t="shared" si="5"/>
        <v>0</v>
      </c>
      <c r="K84" s="12" t="str">
        <f>Data!H83</f>
        <v>Telematics Device</v>
      </c>
      <c r="L84" s="15" t="b">
        <f t="shared" si="6"/>
        <v>1</v>
      </c>
      <c r="M84" s="14" t="str">
        <f>Data!I83</f>
        <v>Telematics device</v>
      </c>
      <c r="N84" s="15" t="str">
        <f>Data!G83</f>
        <v>265</v>
      </c>
      <c r="O84" s="15" t="b">
        <f t="shared" si="7"/>
        <v>1</v>
      </c>
      <c r="P84" s="12" t="str">
        <f>IF(Data!K83=FALSE(),"", Data!K83)</f>
        <v/>
      </c>
      <c r="Q84" s="12" t="str">
        <f>IF(Data!L83=FALSE(),"", Data!L83)</f>
        <v/>
      </c>
      <c r="R84" s="12" t="str">
        <f>IF(Data!M83=FALSE(),"", Data!M83)</f>
        <v/>
      </c>
      <c r="S84" s="12" t="str">
        <f>IF(Data!N83=FALSE(),"", Data!N83)</f>
        <v/>
      </c>
    </row>
    <row r="85" spans="1:19" ht="16.5">
      <c r="A85" s="12" t="str">
        <f>Data!A84</f>
        <v>Demo - 39</v>
      </c>
      <c r="B85" s="12" t="str">
        <f>Data!B84</f>
        <v>Vehicle, Company Group</v>
      </c>
      <c r="C85" s="12" t="str">
        <f>Data!D84</f>
        <v>b27</v>
      </c>
      <c r="D85" s="13">
        <f>Data!E84</f>
        <v>46063.882824074077</v>
      </c>
      <c r="E85" s="56">
        <f t="shared" si="4"/>
        <v>0</v>
      </c>
      <c r="F85" s="12" t="str">
        <f>Data!F84</f>
        <v>Telematics device fault: Check device installation as the accelerometer was disabled due to excessive data</v>
      </c>
      <c r="G85" s="14" t="str">
        <f>Data!A84&amp;" "&amp;Data!F84</f>
        <v>Demo - 39 Telematics device fault: Check device installation as the accelerometer was disabled due to excessive data</v>
      </c>
      <c r="H85" s="56">
        <f>IF(COUNTIF($G$10:G85,G85)&gt;1,0,1)</f>
        <v>0</v>
      </c>
      <c r="I85" s="12" t="str">
        <f>IF(L85=FALSE,Data!J84," ")</f>
        <v xml:space="preserve"> </v>
      </c>
      <c r="J85" s="15" t="b">
        <f t="shared" si="5"/>
        <v>0</v>
      </c>
      <c r="K85" s="12" t="str">
        <f>Data!H84</f>
        <v>Telematics Device</v>
      </c>
      <c r="L85" s="15" t="b">
        <f t="shared" si="6"/>
        <v>1</v>
      </c>
      <c r="M85" s="14" t="str">
        <f>Data!I84</f>
        <v>Telematics device</v>
      </c>
      <c r="N85" s="15" t="str">
        <f>Data!G84</f>
        <v>265</v>
      </c>
      <c r="O85" s="15" t="b">
        <f t="shared" si="7"/>
        <v>1</v>
      </c>
      <c r="P85" s="12" t="str">
        <f>IF(Data!K84=FALSE(),"", Data!K84)</f>
        <v/>
      </c>
      <c r="Q85" s="12" t="str">
        <f>IF(Data!L84=FALSE(),"", Data!L84)</f>
        <v/>
      </c>
      <c r="R85" s="12" t="str">
        <f>IF(Data!M84=FALSE(),"", Data!M84)</f>
        <v/>
      </c>
      <c r="S85" s="12" t="str">
        <f>IF(Data!N84=FALSE(),"", Data!N84)</f>
        <v/>
      </c>
    </row>
    <row r="86" spans="1:19" ht="16.5">
      <c r="A86" s="12" t="str">
        <f>Data!A85</f>
        <v>Demo - 39</v>
      </c>
      <c r="B86" s="12" t="str">
        <f>Data!B85</f>
        <v>Vehicle, Company Group</v>
      </c>
      <c r="C86" s="12" t="str">
        <f>Data!D85</f>
        <v>b27</v>
      </c>
      <c r="D86" s="13">
        <f>Data!E85</f>
        <v>46063.895787037036</v>
      </c>
      <c r="E86" s="56">
        <f t="shared" si="4"/>
        <v>0</v>
      </c>
      <c r="F86" s="12" t="str">
        <f>Data!F85</f>
        <v>Telematics device fault: Check device installation as the accelerometer was disabled due to excessive data</v>
      </c>
      <c r="G86" s="14" t="str">
        <f>Data!A85&amp;" "&amp;Data!F85</f>
        <v>Demo - 39 Telematics device fault: Check device installation as the accelerometer was disabled due to excessive data</v>
      </c>
      <c r="H86" s="56">
        <f>IF(COUNTIF($G$10:G86,G86)&gt;1,0,1)</f>
        <v>0</v>
      </c>
      <c r="I86" s="12" t="str">
        <f>IF(L86=FALSE,Data!J85," ")</f>
        <v xml:space="preserve"> </v>
      </c>
      <c r="J86" s="15" t="b">
        <f t="shared" si="5"/>
        <v>0</v>
      </c>
      <c r="K86" s="12" t="str">
        <f>Data!H85</f>
        <v>Telematics Device</v>
      </c>
      <c r="L86" s="15" t="b">
        <f t="shared" si="6"/>
        <v>1</v>
      </c>
      <c r="M86" s="14" t="str">
        <f>Data!I85</f>
        <v>Telematics device</v>
      </c>
      <c r="N86" s="15" t="str">
        <f>Data!G85</f>
        <v>265</v>
      </c>
      <c r="O86" s="15" t="b">
        <f t="shared" si="7"/>
        <v>1</v>
      </c>
      <c r="P86" s="12" t="str">
        <f>IF(Data!K85=FALSE(),"", Data!K85)</f>
        <v/>
      </c>
      <c r="Q86" s="12" t="str">
        <f>IF(Data!L85=FALSE(),"", Data!L85)</f>
        <v/>
      </c>
      <c r="R86" s="12" t="str">
        <f>IF(Data!M85=FALSE(),"", Data!M85)</f>
        <v/>
      </c>
      <c r="S86" s="12" t="str">
        <f>IF(Data!N85=FALSE(),"", Data!N85)</f>
        <v/>
      </c>
    </row>
    <row r="87" spans="1:19" ht="16.5">
      <c r="A87" s="12" t="str">
        <f>Data!A86</f>
        <v>Demo - 39</v>
      </c>
      <c r="B87" s="12" t="str">
        <f>Data!B86</f>
        <v>Vehicle, Company Group</v>
      </c>
      <c r="C87" s="12" t="str">
        <f>Data!D86</f>
        <v>b27</v>
      </c>
      <c r="D87" s="13">
        <f>Data!E86</f>
        <v>46063.923090277778</v>
      </c>
      <c r="E87" s="56">
        <f t="shared" si="4"/>
        <v>0</v>
      </c>
      <c r="F87" s="12" t="str">
        <f>Data!F86</f>
        <v>Telematics device fault: Check device installation as the accelerometer was disabled due to excessive data</v>
      </c>
      <c r="G87" s="14" t="str">
        <f>Data!A86&amp;" "&amp;Data!F86</f>
        <v>Demo - 39 Telematics device fault: Check device installation as the accelerometer was disabled due to excessive data</v>
      </c>
      <c r="H87" s="56">
        <f>IF(COUNTIF($G$10:G87,G87)&gt;1,0,1)</f>
        <v>0</v>
      </c>
      <c r="I87" s="12" t="str">
        <f>IF(L87=FALSE,Data!J86," ")</f>
        <v xml:space="preserve"> </v>
      </c>
      <c r="J87" s="15" t="b">
        <f t="shared" si="5"/>
        <v>0</v>
      </c>
      <c r="K87" s="12" t="str">
        <f>Data!H86</f>
        <v>Telematics Device</v>
      </c>
      <c r="L87" s="15" t="b">
        <f t="shared" si="6"/>
        <v>1</v>
      </c>
      <c r="M87" s="14" t="str">
        <f>Data!I86</f>
        <v>Telematics device</v>
      </c>
      <c r="N87" s="15" t="str">
        <f>Data!G86</f>
        <v>265</v>
      </c>
      <c r="O87" s="15" t="b">
        <f t="shared" si="7"/>
        <v>1</v>
      </c>
      <c r="P87" s="12" t="str">
        <f>IF(Data!K86=FALSE(),"", Data!K86)</f>
        <v/>
      </c>
      <c r="Q87" s="12" t="str">
        <f>IF(Data!L86=FALSE(),"", Data!L86)</f>
        <v/>
      </c>
      <c r="R87" s="12" t="str">
        <f>IF(Data!M86=FALSE(),"", Data!M86)</f>
        <v/>
      </c>
      <c r="S87" s="12" t="str">
        <f>IF(Data!N86=FALSE(),"", Data!N86)</f>
        <v/>
      </c>
    </row>
    <row r="88" spans="1:19" ht="16.5">
      <c r="A88" s="12" t="str">
        <f>Data!A87</f>
        <v>Demo - 39</v>
      </c>
      <c r="B88" s="12" t="str">
        <f>Data!B87</f>
        <v>Vehicle, Company Group</v>
      </c>
      <c r="C88" s="12" t="str">
        <f>Data!D87</f>
        <v>b27</v>
      </c>
      <c r="D88" s="13">
        <f>Data!E87</f>
        <v>46063.977766203701</v>
      </c>
      <c r="E88" s="56">
        <f t="shared" si="4"/>
        <v>0</v>
      </c>
      <c r="F88" s="12" t="str">
        <f>Data!F87</f>
        <v>Telematics device fault: Check device installation as the accelerometer was disabled due to excessive data</v>
      </c>
      <c r="G88" s="14" t="str">
        <f>Data!A87&amp;" "&amp;Data!F87</f>
        <v>Demo - 39 Telematics device fault: Check device installation as the accelerometer was disabled due to excessive data</v>
      </c>
      <c r="H88" s="56">
        <f>IF(COUNTIF($G$10:G88,G88)&gt;1,0,1)</f>
        <v>0</v>
      </c>
      <c r="I88" s="12" t="str">
        <f>IF(L88=FALSE,Data!J87," ")</f>
        <v xml:space="preserve"> </v>
      </c>
      <c r="J88" s="15" t="b">
        <f t="shared" si="5"/>
        <v>0</v>
      </c>
      <c r="K88" s="12" t="str">
        <f>Data!H87</f>
        <v>Telematics Device</v>
      </c>
      <c r="L88" s="15" t="b">
        <f t="shared" si="6"/>
        <v>1</v>
      </c>
      <c r="M88" s="14" t="str">
        <f>Data!I87</f>
        <v>Telematics device</v>
      </c>
      <c r="N88" s="15" t="str">
        <f>Data!G87</f>
        <v>265</v>
      </c>
      <c r="O88" s="15" t="b">
        <f t="shared" si="7"/>
        <v>1</v>
      </c>
      <c r="P88" s="12" t="str">
        <f>IF(Data!K87=FALSE(),"", Data!K87)</f>
        <v/>
      </c>
      <c r="Q88" s="12" t="str">
        <f>IF(Data!L87=FALSE(),"", Data!L87)</f>
        <v/>
      </c>
      <c r="R88" s="12" t="str">
        <f>IF(Data!M87=FALSE(),"", Data!M87)</f>
        <v/>
      </c>
      <c r="S88" s="12" t="str">
        <f>IF(Data!N87=FALSE(),"", Data!N87)</f>
        <v/>
      </c>
    </row>
    <row r="89" spans="1:19" ht="16.5">
      <c r="A89" s="12" t="str">
        <f>Data!A88</f>
        <v>Demo - 39</v>
      </c>
      <c r="B89" s="12" t="str">
        <f>Data!B88</f>
        <v>Vehicle, Company Group</v>
      </c>
      <c r="C89" s="12" t="str">
        <f>Data!D88</f>
        <v>b27</v>
      </c>
      <c r="D89" s="13">
        <f>Data!E88</f>
        <v>46064.0078125</v>
      </c>
      <c r="E89" s="56">
        <f t="shared" si="4"/>
        <v>0</v>
      </c>
      <c r="F89" s="12" t="str">
        <f>Data!F88</f>
        <v>Telematics device fault: Check device installation as the accelerometer was disabled due to excessive data</v>
      </c>
      <c r="G89" s="14" t="str">
        <f>Data!A88&amp;" "&amp;Data!F88</f>
        <v>Demo - 39 Telematics device fault: Check device installation as the accelerometer was disabled due to excessive data</v>
      </c>
      <c r="H89" s="56">
        <f>IF(COUNTIF($G$10:G89,G89)&gt;1,0,1)</f>
        <v>0</v>
      </c>
      <c r="I89" s="12" t="str">
        <f>IF(L89=FALSE,Data!J88," ")</f>
        <v xml:space="preserve"> </v>
      </c>
      <c r="J89" s="15" t="b">
        <f t="shared" si="5"/>
        <v>0</v>
      </c>
      <c r="K89" s="12" t="str">
        <f>Data!H88</f>
        <v>Telematics Device</v>
      </c>
      <c r="L89" s="15" t="b">
        <f t="shared" si="6"/>
        <v>1</v>
      </c>
      <c r="M89" s="14" t="str">
        <f>Data!I88</f>
        <v>Telematics device</v>
      </c>
      <c r="N89" s="15" t="str">
        <f>Data!G88</f>
        <v>265</v>
      </c>
      <c r="O89" s="15" t="b">
        <f t="shared" si="7"/>
        <v>1</v>
      </c>
      <c r="P89" s="12" t="str">
        <f>IF(Data!K88=FALSE(),"", Data!K88)</f>
        <v/>
      </c>
      <c r="Q89" s="12" t="str">
        <f>IF(Data!L88=FALSE(),"", Data!L88)</f>
        <v/>
      </c>
      <c r="R89" s="12" t="str">
        <f>IF(Data!M88=FALSE(),"", Data!M88)</f>
        <v/>
      </c>
      <c r="S89" s="12" t="str">
        <f>IF(Data!N88=FALSE(),"", Data!N88)</f>
        <v/>
      </c>
    </row>
    <row r="90" spans="1:19" ht="16.5">
      <c r="A90" s="12" t="str">
        <f>Data!A89</f>
        <v>Demo - 39</v>
      </c>
      <c r="B90" s="12" t="str">
        <f>Data!B89</f>
        <v>Vehicle, Company Group</v>
      </c>
      <c r="C90" s="12" t="str">
        <f>Data!D89</f>
        <v>b27</v>
      </c>
      <c r="D90" s="13">
        <f>Data!E89</f>
        <v>46065.766215277778</v>
      </c>
      <c r="E90" s="56">
        <f t="shared" si="4"/>
        <v>0</v>
      </c>
      <c r="F90" s="12" t="str">
        <f>Data!F89</f>
        <v>Telematics device fault: Check device installation as the accelerometer was disabled due to excessive data</v>
      </c>
      <c r="G90" s="14" t="str">
        <f>Data!A89&amp;" "&amp;Data!F89</f>
        <v>Demo - 39 Telematics device fault: Check device installation as the accelerometer was disabled due to excessive data</v>
      </c>
      <c r="H90" s="56">
        <f>IF(COUNTIF($G$10:G90,G90)&gt;1,0,1)</f>
        <v>0</v>
      </c>
      <c r="I90" s="12" t="str">
        <f>IF(L90=FALSE,Data!J89," ")</f>
        <v xml:space="preserve"> </v>
      </c>
      <c r="J90" s="15" t="b">
        <f t="shared" si="5"/>
        <v>0</v>
      </c>
      <c r="K90" s="12" t="str">
        <f>Data!H89</f>
        <v>Telematics Device</v>
      </c>
      <c r="L90" s="15" t="b">
        <f t="shared" si="6"/>
        <v>1</v>
      </c>
      <c r="M90" s="14" t="str">
        <f>Data!I89</f>
        <v>Telematics device</v>
      </c>
      <c r="N90" s="15" t="str">
        <f>Data!G89</f>
        <v>265</v>
      </c>
      <c r="O90" s="15" t="b">
        <f t="shared" si="7"/>
        <v>1</v>
      </c>
      <c r="P90" s="12" t="str">
        <f>IF(Data!K89=FALSE(),"", Data!K89)</f>
        <v/>
      </c>
      <c r="Q90" s="12" t="str">
        <f>IF(Data!L89=FALSE(),"", Data!L89)</f>
        <v/>
      </c>
      <c r="R90" s="12" t="str">
        <f>IF(Data!M89=FALSE(),"", Data!M89)</f>
        <v/>
      </c>
      <c r="S90" s="12" t="str">
        <f>IF(Data!N89=FALSE(),"", Data!N89)</f>
        <v/>
      </c>
    </row>
    <row r="91" spans="1:19" ht="16.5">
      <c r="A91" s="12" t="str">
        <f>Data!A90</f>
        <v>Demo - 39</v>
      </c>
      <c r="B91" s="12" t="str">
        <f>Data!B90</f>
        <v>Vehicle, Company Group</v>
      </c>
      <c r="C91" s="12" t="str">
        <f>Data!D90</f>
        <v>b27</v>
      </c>
      <c r="D91" s="13">
        <f>Data!E90</f>
        <v>46065.798159722224</v>
      </c>
      <c r="E91" s="56">
        <f t="shared" si="4"/>
        <v>0</v>
      </c>
      <c r="F91" s="12" t="str">
        <f>Data!F90</f>
        <v>Telematics device fault: Check device installation as the accelerometer was disabled due to excessive data</v>
      </c>
      <c r="G91" s="14" t="str">
        <f>Data!A90&amp;" "&amp;Data!F90</f>
        <v>Demo - 39 Telematics device fault: Check device installation as the accelerometer was disabled due to excessive data</v>
      </c>
      <c r="H91" s="56">
        <f>IF(COUNTIF($G$10:G91,G91)&gt;1,0,1)</f>
        <v>0</v>
      </c>
      <c r="I91" s="12" t="str">
        <f>IF(L91=FALSE,Data!J90," ")</f>
        <v xml:space="preserve"> </v>
      </c>
      <c r="J91" s="15" t="b">
        <f t="shared" si="5"/>
        <v>0</v>
      </c>
      <c r="K91" s="12" t="str">
        <f>Data!H90</f>
        <v>Telematics Device</v>
      </c>
      <c r="L91" s="15" t="b">
        <f t="shared" si="6"/>
        <v>1</v>
      </c>
      <c r="M91" s="14" t="str">
        <f>Data!I90</f>
        <v>Telematics device</v>
      </c>
      <c r="N91" s="15" t="str">
        <f>Data!G90</f>
        <v>265</v>
      </c>
      <c r="O91" s="15" t="b">
        <f t="shared" si="7"/>
        <v>1</v>
      </c>
      <c r="P91" s="12" t="str">
        <f>IF(Data!K90=FALSE(),"", Data!K90)</f>
        <v/>
      </c>
      <c r="Q91" s="12" t="str">
        <f>IF(Data!L90=FALSE(),"", Data!L90)</f>
        <v/>
      </c>
      <c r="R91" s="12" t="str">
        <f>IF(Data!M90=FALSE(),"", Data!M90)</f>
        <v/>
      </c>
      <c r="S91" s="12" t="str">
        <f>IF(Data!N90=FALSE(),"", Data!N90)</f>
        <v/>
      </c>
    </row>
    <row r="92" spans="1:19" ht="16.5">
      <c r="A92" s="12" t="str">
        <f>Data!A91</f>
        <v>Demo - 39</v>
      </c>
      <c r="B92" s="12" t="str">
        <f>Data!B91</f>
        <v>Vehicle, Company Group</v>
      </c>
      <c r="C92" s="12" t="str">
        <f>Data!D91</f>
        <v>b27</v>
      </c>
      <c r="D92" s="13">
        <f>Data!E91</f>
        <v>46065.831145833334</v>
      </c>
      <c r="E92" s="56">
        <f t="shared" si="4"/>
        <v>0</v>
      </c>
      <c r="F92" s="12" t="str">
        <f>Data!F91</f>
        <v>Telematics device fault: Check device installation as the accelerometer was disabled due to excessive data</v>
      </c>
      <c r="G92" s="14" t="str">
        <f>Data!A91&amp;" "&amp;Data!F91</f>
        <v>Demo - 39 Telematics device fault: Check device installation as the accelerometer was disabled due to excessive data</v>
      </c>
      <c r="H92" s="56">
        <f>IF(COUNTIF($G$10:G92,G92)&gt;1,0,1)</f>
        <v>0</v>
      </c>
      <c r="I92" s="12" t="str">
        <f>IF(L92=FALSE,Data!J91," ")</f>
        <v xml:space="preserve"> </v>
      </c>
      <c r="J92" s="15" t="b">
        <f t="shared" si="5"/>
        <v>0</v>
      </c>
      <c r="K92" s="12" t="str">
        <f>Data!H91</f>
        <v>Telematics Device</v>
      </c>
      <c r="L92" s="15" t="b">
        <f t="shared" si="6"/>
        <v>1</v>
      </c>
      <c r="M92" s="14" t="str">
        <f>Data!I91</f>
        <v>Telematics device</v>
      </c>
      <c r="N92" s="15" t="str">
        <f>Data!G91</f>
        <v>265</v>
      </c>
      <c r="O92" s="15" t="b">
        <f t="shared" si="7"/>
        <v>1</v>
      </c>
      <c r="P92" s="12" t="str">
        <f>IF(Data!K91=FALSE(),"", Data!K91)</f>
        <v/>
      </c>
      <c r="Q92" s="12" t="str">
        <f>IF(Data!L91=FALSE(),"", Data!L91)</f>
        <v/>
      </c>
      <c r="R92" s="12" t="str">
        <f>IF(Data!M91=FALSE(),"", Data!M91)</f>
        <v/>
      </c>
      <c r="S92" s="12" t="str">
        <f>IF(Data!N91=FALSE(),"", Data!N91)</f>
        <v/>
      </c>
    </row>
    <row r="93" spans="1:19" ht="16.5">
      <c r="A93" s="12" t="str">
        <f>Data!A92</f>
        <v>Demo - 39</v>
      </c>
      <c r="B93" s="12" t="str">
        <f>Data!B92</f>
        <v>Vehicle, Company Group</v>
      </c>
      <c r="C93" s="12" t="str">
        <f>Data!D92</f>
        <v>b27</v>
      </c>
      <c r="D93" s="13">
        <f>Data!E92</f>
        <v>46065.856944444444</v>
      </c>
      <c r="E93" s="56">
        <f t="shared" si="4"/>
        <v>0</v>
      </c>
      <c r="F93" s="12" t="str">
        <f>Data!F92</f>
        <v>Telematics device fault: Check device installation as the accelerometer was disabled due to excessive data</v>
      </c>
      <c r="G93" s="14" t="str">
        <f>Data!A92&amp;" "&amp;Data!F92</f>
        <v>Demo - 39 Telematics device fault: Check device installation as the accelerometer was disabled due to excessive data</v>
      </c>
      <c r="H93" s="56">
        <f>IF(COUNTIF($G$10:G93,G93)&gt;1,0,1)</f>
        <v>0</v>
      </c>
      <c r="I93" s="12" t="str">
        <f>IF(L93=FALSE,Data!J92," ")</f>
        <v xml:space="preserve"> </v>
      </c>
      <c r="J93" s="15" t="b">
        <f t="shared" si="5"/>
        <v>0</v>
      </c>
      <c r="K93" s="12" t="str">
        <f>Data!H92</f>
        <v>Telematics Device</v>
      </c>
      <c r="L93" s="15" t="b">
        <f t="shared" si="6"/>
        <v>1</v>
      </c>
      <c r="M93" s="14" t="str">
        <f>Data!I92</f>
        <v>Telematics device</v>
      </c>
      <c r="N93" s="15" t="str">
        <f>Data!G92</f>
        <v>265</v>
      </c>
      <c r="O93" s="15" t="b">
        <f t="shared" si="7"/>
        <v>1</v>
      </c>
      <c r="P93" s="12" t="str">
        <f>IF(Data!K92=FALSE(),"", Data!K92)</f>
        <v/>
      </c>
      <c r="Q93" s="12" t="str">
        <f>IF(Data!L92=FALSE(),"", Data!L92)</f>
        <v/>
      </c>
      <c r="R93" s="12" t="str">
        <f>IF(Data!M92=FALSE(),"", Data!M92)</f>
        <v/>
      </c>
      <c r="S93" s="12" t="str">
        <f>IF(Data!N92=FALSE(),"", Data!N92)</f>
        <v/>
      </c>
    </row>
    <row r="94" spans="1:19" ht="16.5">
      <c r="A94" s="12" t="str">
        <f>Data!A93</f>
        <v>Demo - 39</v>
      </c>
      <c r="B94" s="12" t="str">
        <f>Data!B93</f>
        <v>Vehicle, Company Group</v>
      </c>
      <c r="C94" s="12" t="str">
        <f>Data!D93</f>
        <v>b27</v>
      </c>
      <c r="D94" s="13">
        <f>Data!E93</f>
        <v>46065.870335648149</v>
      </c>
      <c r="E94" s="56">
        <f t="shared" si="4"/>
        <v>0</v>
      </c>
      <c r="F94" s="12" t="str">
        <f>Data!F93</f>
        <v>Telematics device fault: Check device installation as the accelerometer was disabled due to excessive data</v>
      </c>
      <c r="G94" s="14" t="str">
        <f>Data!A93&amp;" "&amp;Data!F93</f>
        <v>Demo - 39 Telematics device fault: Check device installation as the accelerometer was disabled due to excessive data</v>
      </c>
      <c r="H94" s="56">
        <f>IF(COUNTIF($G$10:G94,G94)&gt;1,0,1)</f>
        <v>0</v>
      </c>
      <c r="I94" s="12" t="str">
        <f>IF(L94=FALSE,Data!J93," ")</f>
        <v xml:space="preserve"> </v>
      </c>
      <c r="J94" s="15" t="b">
        <f t="shared" si="5"/>
        <v>0</v>
      </c>
      <c r="K94" s="12" t="str">
        <f>Data!H93</f>
        <v>Telematics Device</v>
      </c>
      <c r="L94" s="15" t="b">
        <f t="shared" si="6"/>
        <v>1</v>
      </c>
      <c r="M94" s="14" t="str">
        <f>Data!I93</f>
        <v>Telematics device</v>
      </c>
      <c r="N94" s="15" t="str">
        <f>Data!G93</f>
        <v>265</v>
      </c>
      <c r="O94" s="15" t="b">
        <f t="shared" si="7"/>
        <v>1</v>
      </c>
      <c r="P94" s="12" t="str">
        <f>IF(Data!K93=FALSE(),"", Data!K93)</f>
        <v/>
      </c>
      <c r="Q94" s="12" t="str">
        <f>IF(Data!L93=FALSE(),"", Data!L93)</f>
        <v/>
      </c>
      <c r="R94" s="12" t="str">
        <f>IF(Data!M93=FALSE(),"", Data!M93)</f>
        <v/>
      </c>
      <c r="S94" s="12" t="str">
        <f>IF(Data!N93=FALSE(),"", Data!N93)</f>
        <v/>
      </c>
    </row>
    <row r="95" spans="1:19" ht="16.5">
      <c r="A95" s="12" t="str">
        <f>Data!A94</f>
        <v>Demo - 39</v>
      </c>
      <c r="B95" s="12" t="str">
        <f>Data!B94</f>
        <v>Vehicle, Company Group</v>
      </c>
      <c r="C95" s="12" t="str">
        <f>Data!D94</f>
        <v>b27</v>
      </c>
      <c r="D95" s="13">
        <f>Data!E94</f>
        <v>46065.918842592589</v>
      </c>
      <c r="E95" s="56">
        <f t="shared" si="4"/>
        <v>0</v>
      </c>
      <c r="F95" s="12" t="str">
        <f>Data!F94</f>
        <v>Telematics device fault: Check device installation as the accelerometer was disabled due to excessive data</v>
      </c>
      <c r="G95" s="14" t="str">
        <f>Data!A94&amp;" "&amp;Data!F94</f>
        <v>Demo - 39 Telematics device fault: Check device installation as the accelerometer was disabled due to excessive data</v>
      </c>
      <c r="H95" s="56">
        <f>IF(COUNTIF($G$10:G95,G95)&gt;1,0,1)</f>
        <v>0</v>
      </c>
      <c r="I95" s="12" t="str">
        <f>IF(L95=FALSE,Data!J94," ")</f>
        <v xml:space="preserve"> </v>
      </c>
      <c r="J95" s="15" t="b">
        <f t="shared" si="5"/>
        <v>0</v>
      </c>
      <c r="K95" s="12" t="str">
        <f>Data!H94</f>
        <v>Telematics Device</v>
      </c>
      <c r="L95" s="15" t="b">
        <f t="shared" si="6"/>
        <v>1</v>
      </c>
      <c r="M95" s="14" t="str">
        <f>Data!I94</f>
        <v>Telematics device</v>
      </c>
      <c r="N95" s="15" t="str">
        <f>Data!G94</f>
        <v>265</v>
      </c>
      <c r="O95" s="15" t="b">
        <f t="shared" si="7"/>
        <v>1</v>
      </c>
      <c r="P95" s="12" t="str">
        <f>IF(Data!K94=FALSE(),"", Data!K94)</f>
        <v/>
      </c>
      <c r="Q95" s="12" t="str">
        <f>IF(Data!L94=FALSE(),"", Data!L94)</f>
        <v/>
      </c>
      <c r="R95" s="12" t="str">
        <f>IF(Data!M94=FALSE(),"", Data!M94)</f>
        <v/>
      </c>
      <c r="S95" s="12" t="str">
        <f>IF(Data!N94=FALSE(),"", Data!N94)</f>
        <v/>
      </c>
    </row>
    <row r="96" spans="1:19" ht="16.5">
      <c r="A96" s="12" t="str">
        <f>Data!A95</f>
        <v>Demo - 39</v>
      </c>
      <c r="B96" s="12" t="str">
        <f>Data!B95</f>
        <v>Vehicle, Company Group</v>
      </c>
      <c r="C96" s="12" t="str">
        <f>Data!D95</f>
        <v>b27</v>
      </c>
      <c r="D96" s="13">
        <f>Data!E95</f>
        <v>46065.931956018518</v>
      </c>
      <c r="E96" s="56">
        <f t="shared" si="4"/>
        <v>0</v>
      </c>
      <c r="F96" s="12" t="str">
        <f>Data!F95</f>
        <v>Telematics device fault: Check device installation as the accelerometer was disabled due to excessive data</v>
      </c>
      <c r="G96" s="14" t="str">
        <f>Data!A95&amp;" "&amp;Data!F95</f>
        <v>Demo - 39 Telematics device fault: Check device installation as the accelerometer was disabled due to excessive data</v>
      </c>
      <c r="H96" s="56">
        <f>IF(COUNTIF($G$10:G96,G96)&gt;1,0,1)</f>
        <v>0</v>
      </c>
      <c r="I96" s="12" t="str">
        <f>IF(L96=FALSE,Data!J95," ")</f>
        <v xml:space="preserve"> </v>
      </c>
      <c r="J96" s="15" t="b">
        <f t="shared" si="5"/>
        <v>0</v>
      </c>
      <c r="K96" s="12" t="str">
        <f>Data!H95</f>
        <v>Telematics Device</v>
      </c>
      <c r="L96" s="15" t="b">
        <f t="shared" si="6"/>
        <v>1</v>
      </c>
      <c r="M96" s="14" t="str">
        <f>Data!I95</f>
        <v>Telematics device</v>
      </c>
      <c r="N96" s="15" t="str">
        <f>Data!G95</f>
        <v>265</v>
      </c>
      <c r="O96" s="15" t="b">
        <f t="shared" si="7"/>
        <v>1</v>
      </c>
      <c r="P96" s="12" t="str">
        <f>IF(Data!K95=FALSE(),"", Data!K95)</f>
        <v/>
      </c>
      <c r="Q96" s="12" t="str">
        <f>IF(Data!L95=FALSE(),"", Data!L95)</f>
        <v/>
      </c>
      <c r="R96" s="12" t="str">
        <f>IF(Data!M95=FALSE(),"", Data!M95)</f>
        <v/>
      </c>
      <c r="S96" s="12" t="str">
        <f>IF(Data!N95=FALSE(),"", Data!N95)</f>
        <v/>
      </c>
    </row>
    <row r="97" spans="1:19" ht="16.5">
      <c r="A97" s="12" t="str">
        <f>Data!A96</f>
        <v>Demo - 39</v>
      </c>
      <c r="B97" s="12" t="str">
        <f>Data!B96</f>
        <v>Vehicle, Company Group</v>
      </c>
      <c r="C97" s="12" t="str">
        <f>Data!D96</f>
        <v>b27</v>
      </c>
      <c r="D97" s="13">
        <f>Data!E96</f>
        <v>46065.963379629633</v>
      </c>
      <c r="E97" s="56">
        <f t="shared" si="4"/>
        <v>0</v>
      </c>
      <c r="F97" s="12" t="str">
        <f>Data!F96</f>
        <v>Telematics device fault: Check device installation as the accelerometer was disabled due to excessive data</v>
      </c>
      <c r="G97" s="14" t="str">
        <f>Data!A96&amp;" "&amp;Data!F96</f>
        <v>Demo - 39 Telematics device fault: Check device installation as the accelerometer was disabled due to excessive data</v>
      </c>
      <c r="H97" s="56">
        <f>IF(COUNTIF($G$10:G97,G97)&gt;1,0,1)</f>
        <v>0</v>
      </c>
      <c r="I97" s="12" t="str">
        <f>IF(L97=FALSE,Data!J96," ")</f>
        <v xml:space="preserve"> </v>
      </c>
      <c r="J97" s="15" t="b">
        <f t="shared" si="5"/>
        <v>0</v>
      </c>
      <c r="K97" s="12" t="str">
        <f>Data!H96</f>
        <v>Telematics Device</v>
      </c>
      <c r="L97" s="15" t="b">
        <f t="shared" si="6"/>
        <v>1</v>
      </c>
      <c r="M97" s="14" t="str">
        <f>Data!I96</f>
        <v>Telematics device</v>
      </c>
      <c r="N97" s="15" t="str">
        <f>Data!G96</f>
        <v>265</v>
      </c>
      <c r="O97" s="15" t="b">
        <f t="shared" si="7"/>
        <v>1</v>
      </c>
      <c r="P97" s="12" t="str">
        <f>IF(Data!K96=FALSE(),"", Data!K96)</f>
        <v/>
      </c>
      <c r="Q97" s="12" t="str">
        <f>IF(Data!L96=FALSE(),"", Data!L96)</f>
        <v/>
      </c>
      <c r="R97" s="12" t="str">
        <f>IF(Data!M96=FALSE(),"", Data!M96)</f>
        <v/>
      </c>
      <c r="S97" s="12" t="str">
        <f>IF(Data!N96=FALSE(),"", Data!N96)</f>
        <v/>
      </c>
    </row>
    <row r="98" spans="1:19" ht="16.5">
      <c r="A98" s="12" t="str">
        <f>Data!A97</f>
        <v>Demo - 39</v>
      </c>
      <c r="B98" s="12" t="str">
        <f>Data!B97</f>
        <v>Vehicle, Company Group</v>
      </c>
      <c r="C98" s="12" t="str">
        <f>Data!D97</f>
        <v>b27</v>
      </c>
      <c r="D98" s="13">
        <f>Data!E97</f>
        <v>46065.983472222222</v>
      </c>
      <c r="E98" s="56">
        <f t="shared" si="4"/>
        <v>0</v>
      </c>
      <c r="F98" s="12" t="str">
        <f>Data!F97</f>
        <v>Telematics device fault: Check device installation as the accelerometer was disabled due to excessive data</v>
      </c>
      <c r="G98" s="14" t="str">
        <f>Data!A97&amp;" "&amp;Data!F97</f>
        <v>Demo - 39 Telematics device fault: Check device installation as the accelerometer was disabled due to excessive data</v>
      </c>
      <c r="H98" s="56">
        <f>IF(COUNTIF($G$10:G98,G98)&gt;1,0,1)</f>
        <v>0</v>
      </c>
      <c r="I98" s="12" t="str">
        <f>IF(L98=FALSE,Data!J97," ")</f>
        <v xml:space="preserve"> </v>
      </c>
      <c r="J98" s="15" t="b">
        <f t="shared" si="5"/>
        <v>0</v>
      </c>
      <c r="K98" s="12" t="str">
        <f>Data!H97</f>
        <v>Telematics Device</v>
      </c>
      <c r="L98" s="15" t="b">
        <f t="shared" si="6"/>
        <v>1</v>
      </c>
      <c r="M98" s="14" t="str">
        <f>Data!I97</f>
        <v>Telematics device</v>
      </c>
      <c r="N98" s="15" t="str">
        <f>Data!G97</f>
        <v>265</v>
      </c>
      <c r="O98" s="15" t="b">
        <f t="shared" si="7"/>
        <v>1</v>
      </c>
      <c r="P98" s="12" t="str">
        <f>IF(Data!K97=FALSE(),"", Data!K97)</f>
        <v/>
      </c>
      <c r="Q98" s="12" t="str">
        <f>IF(Data!L97=FALSE(),"", Data!L97)</f>
        <v/>
      </c>
      <c r="R98" s="12" t="str">
        <f>IF(Data!M97=FALSE(),"", Data!M97)</f>
        <v/>
      </c>
      <c r="S98" s="12" t="str">
        <f>IF(Data!N97=FALSE(),"", Data!N97)</f>
        <v/>
      </c>
    </row>
    <row r="99" spans="1:19" ht="16.5">
      <c r="A99" s="12" t="str">
        <f>Data!A98</f>
        <v>Demo - 39</v>
      </c>
      <c r="B99" s="12" t="str">
        <f>Data!B98</f>
        <v>Vehicle, Company Group</v>
      </c>
      <c r="C99" s="12" t="str">
        <f>Data!D98</f>
        <v>b27</v>
      </c>
      <c r="D99" s="13">
        <f>Data!E98</f>
        <v>46066.039537037039</v>
      </c>
      <c r="E99" s="56">
        <f t="shared" si="4"/>
        <v>0</v>
      </c>
      <c r="F99" s="12" t="str">
        <f>Data!F98</f>
        <v>Telematics device fault: Check device installation as the accelerometer was disabled due to excessive data</v>
      </c>
      <c r="G99" s="14" t="str">
        <f>Data!A98&amp;" "&amp;Data!F98</f>
        <v>Demo - 39 Telematics device fault: Check device installation as the accelerometer was disabled due to excessive data</v>
      </c>
      <c r="H99" s="56">
        <f>IF(COUNTIF($G$10:G99,G99)&gt;1,0,1)</f>
        <v>0</v>
      </c>
      <c r="I99" s="12" t="str">
        <f>IF(L99=FALSE,Data!J98," ")</f>
        <v xml:space="preserve"> </v>
      </c>
      <c r="J99" s="15" t="b">
        <f t="shared" si="5"/>
        <v>0</v>
      </c>
      <c r="K99" s="12" t="str">
        <f>Data!H98</f>
        <v>Telematics Device</v>
      </c>
      <c r="L99" s="15" t="b">
        <f t="shared" si="6"/>
        <v>1</v>
      </c>
      <c r="M99" s="14" t="str">
        <f>Data!I98</f>
        <v>Telematics device</v>
      </c>
      <c r="N99" s="15" t="str">
        <f>Data!G98</f>
        <v>265</v>
      </c>
      <c r="O99" s="15" t="b">
        <f t="shared" si="7"/>
        <v>1</v>
      </c>
      <c r="P99" s="12" t="str">
        <f>IF(Data!K98=FALSE(),"", Data!K98)</f>
        <v/>
      </c>
      <c r="Q99" s="12" t="str">
        <f>IF(Data!L98=FALSE(),"", Data!L98)</f>
        <v/>
      </c>
      <c r="R99" s="12" t="str">
        <f>IF(Data!M98=FALSE(),"", Data!M98)</f>
        <v/>
      </c>
      <c r="S99" s="12" t="str">
        <f>IF(Data!N98=FALSE(),"", Data!N98)</f>
        <v/>
      </c>
    </row>
    <row r="100" spans="1:19" ht="16.5">
      <c r="A100" s="12" t="str">
        <f>Data!A99</f>
        <v>Demo - 39</v>
      </c>
      <c r="B100" s="12" t="str">
        <f>Data!B99</f>
        <v>Vehicle, Company Group</v>
      </c>
      <c r="C100" s="12" t="str">
        <f>Data!D99</f>
        <v>b27</v>
      </c>
      <c r="D100" s="13">
        <f>Data!E99</f>
        <v>46066.060023148151</v>
      </c>
      <c r="E100" s="56">
        <f t="shared" si="4"/>
        <v>0</v>
      </c>
      <c r="F100" s="12" t="str">
        <f>Data!F99</f>
        <v>Alert: Collision limit for acceleration exceeded</v>
      </c>
      <c r="G100" s="14" t="str">
        <f>Data!A99&amp;" "&amp;Data!F99</f>
        <v>Demo - 39 Alert: Collision limit for acceleration exceeded</v>
      </c>
      <c r="H100" s="56">
        <f>IF(COUNTIF($G$10:G100,G100)&gt;1,0,1)</f>
        <v>1</v>
      </c>
      <c r="I100" s="12" t="str">
        <f>IF(L100=FALSE,Data!J99," ")</f>
        <v xml:space="preserve"> </v>
      </c>
      <c r="J100" s="15" t="b">
        <f t="shared" si="5"/>
        <v>0</v>
      </c>
      <c r="K100" s="12" t="str">
        <f>Data!H99</f>
        <v>Telematics Device</v>
      </c>
      <c r="L100" s="15" t="b">
        <f t="shared" si="6"/>
        <v>1</v>
      </c>
      <c r="M100" s="14" t="str">
        <f>Data!I99</f>
        <v>Telematics device</v>
      </c>
      <c r="N100" s="15" t="str">
        <f>Data!G99</f>
        <v>166</v>
      </c>
      <c r="O100" s="15" t="b">
        <f t="shared" si="7"/>
        <v>1</v>
      </c>
      <c r="P100" s="12" t="str">
        <f>IF(Data!K99=FALSE(),"", Data!K99)</f>
        <v/>
      </c>
      <c r="Q100" s="12" t="str">
        <f>IF(Data!L99=FALSE(),"", Data!L99)</f>
        <v/>
      </c>
      <c r="R100" s="12" t="str">
        <f>IF(Data!M99=FALSE(),"", Data!M99)</f>
        <v/>
      </c>
      <c r="S100" s="12" t="str">
        <f>IF(Data!N99=FALSE(),"", Data!N99)</f>
        <v/>
      </c>
    </row>
    <row r="101" spans="1:19" ht="16.5">
      <c r="A101" s="12" t="str">
        <f>Data!A100</f>
        <v>Demo - 39</v>
      </c>
      <c r="B101" s="12" t="str">
        <f>Data!B100</f>
        <v>Vehicle, Company Group</v>
      </c>
      <c r="C101" s="12" t="str">
        <f>Data!D100</f>
        <v>b27</v>
      </c>
      <c r="D101" s="13">
        <f>Data!E100</f>
        <v>46066.783263888887</v>
      </c>
      <c r="E101" s="56">
        <f t="shared" si="4"/>
        <v>0</v>
      </c>
      <c r="F101" s="12" t="str">
        <f>Data!F100</f>
        <v>Telematics device fault: Check device installation as the accelerometer was disabled due to excessive data</v>
      </c>
      <c r="G101" s="14" t="str">
        <f>Data!A100&amp;" "&amp;Data!F100</f>
        <v>Demo - 39 Telematics device fault: Check device installation as the accelerometer was disabled due to excessive data</v>
      </c>
      <c r="H101" s="56">
        <f>IF(COUNTIF($G$10:G101,G101)&gt;1,0,1)</f>
        <v>0</v>
      </c>
      <c r="I101" s="12" t="str">
        <f>IF(L101=FALSE,Data!J100," ")</f>
        <v xml:space="preserve"> </v>
      </c>
      <c r="J101" s="15" t="b">
        <f t="shared" si="5"/>
        <v>0</v>
      </c>
      <c r="K101" s="12" t="str">
        <f>Data!H100</f>
        <v>Telematics Device</v>
      </c>
      <c r="L101" s="15" t="b">
        <f t="shared" si="6"/>
        <v>1</v>
      </c>
      <c r="M101" s="14" t="str">
        <f>Data!I100</f>
        <v>Telematics device</v>
      </c>
      <c r="N101" s="15" t="str">
        <f>Data!G100</f>
        <v>265</v>
      </c>
      <c r="O101" s="15" t="b">
        <f t="shared" si="7"/>
        <v>1</v>
      </c>
      <c r="P101" s="12" t="str">
        <f>IF(Data!K100=FALSE(),"", Data!K100)</f>
        <v/>
      </c>
      <c r="Q101" s="12" t="str">
        <f>IF(Data!L100=FALSE(),"", Data!L100)</f>
        <v/>
      </c>
      <c r="R101" s="12" t="str">
        <f>IF(Data!M100=FALSE(),"", Data!M100)</f>
        <v/>
      </c>
      <c r="S101" s="12" t="str">
        <f>IF(Data!N100=FALSE(),"", Data!N100)</f>
        <v/>
      </c>
    </row>
    <row r="102" spans="1:19" ht="16.5">
      <c r="A102" s="12" t="str">
        <f>Data!A101</f>
        <v>Demo - 39</v>
      </c>
      <c r="B102" s="12" t="str">
        <f>Data!B101</f>
        <v>Vehicle, Company Group</v>
      </c>
      <c r="C102" s="12" t="str">
        <f>Data!D101</f>
        <v>b27</v>
      </c>
      <c r="D102" s="13">
        <f>Data!E101</f>
        <v>46066.826180555552</v>
      </c>
      <c r="E102" s="56">
        <f t="shared" si="4"/>
        <v>0</v>
      </c>
      <c r="F102" s="12" t="str">
        <f>Data!F101</f>
        <v>Telematics device fault: Check device installation as the accelerometer was disabled due to excessive data</v>
      </c>
      <c r="G102" s="14" t="str">
        <f>Data!A101&amp;" "&amp;Data!F101</f>
        <v>Demo - 39 Telematics device fault: Check device installation as the accelerometer was disabled due to excessive data</v>
      </c>
      <c r="H102" s="56">
        <f>IF(COUNTIF($G$10:G102,G102)&gt;1,0,1)</f>
        <v>0</v>
      </c>
      <c r="I102" s="12" t="str">
        <f>IF(L102=FALSE,Data!J101," ")</f>
        <v xml:space="preserve"> </v>
      </c>
      <c r="J102" s="15" t="b">
        <f t="shared" si="5"/>
        <v>0</v>
      </c>
      <c r="K102" s="12" t="str">
        <f>Data!H101</f>
        <v>Telematics Device</v>
      </c>
      <c r="L102" s="15" t="b">
        <f t="shared" si="6"/>
        <v>1</v>
      </c>
      <c r="M102" s="14" t="str">
        <f>Data!I101</f>
        <v>Telematics device</v>
      </c>
      <c r="N102" s="15" t="str">
        <f>Data!G101</f>
        <v>265</v>
      </c>
      <c r="O102" s="15" t="b">
        <f t="shared" si="7"/>
        <v>1</v>
      </c>
      <c r="P102" s="12" t="str">
        <f>IF(Data!K101=FALSE(),"", Data!K101)</f>
        <v/>
      </c>
      <c r="Q102" s="12" t="str">
        <f>IF(Data!L101=FALSE(),"", Data!L101)</f>
        <v/>
      </c>
      <c r="R102" s="12" t="str">
        <f>IF(Data!M101=FALSE(),"", Data!M101)</f>
        <v/>
      </c>
      <c r="S102" s="12" t="str">
        <f>IF(Data!N101=FALSE(),"", Data!N101)</f>
        <v/>
      </c>
    </row>
    <row r="103" spans="1:19" ht="16.5">
      <c r="A103" s="12" t="str">
        <f>Data!A102</f>
        <v>Demo - 39</v>
      </c>
      <c r="B103" s="12" t="str">
        <f>Data!B102</f>
        <v>Vehicle, Company Group</v>
      </c>
      <c r="C103" s="12" t="str">
        <f>Data!D102</f>
        <v>b27</v>
      </c>
      <c r="D103" s="13">
        <f>Data!E102</f>
        <v>46066.857905092591</v>
      </c>
      <c r="E103" s="56">
        <f t="shared" si="4"/>
        <v>0</v>
      </c>
      <c r="F103" s="12" t="str">
        <f>Data!F102</f>
        <v>Telematics device fault: Check device installation as the accelerometer was disabled due to excessive data</v>
      </c>
      <c r="G103" s="14" t="str">
        <f>Data!A102&amp;" "&amp;Data!F102</f>
        <v>Demo - 39 Telematics device fault: Check device installation as the accelerometer was disabled due to excessive data</v>
      </c>
      <c r="H103" s="56">
        <f>IF(COUNTIF($G$10:G103,G103)&gt;1,0,1)</f>
        <v>0</v>
      </c>
      <c r="I103" s="12" t="str">
        <f>IF(L103=FALSE,Data!J102," ")</f>
        <v xml:space="preserve"> </v>
      </c>
      <c r="J103" s="15" t="b">
        <f t="shared" si="5"/>
        <v>0</v>
      </c>
      <c r="K103" s="12" t="str">
        <f>Data!H102</f>
        <v>Telematics Device</v>
      </c>
      <c r="L103" s="15" t="b">
        <f t="shared" si="6"/>
        <v>1</v>
      </c>
      <c r="M103" s="14" t="str">
        <f>Data!I102</f>
        <v>Telematics device</v>
      </c>
      <c r="N103" s="15" t="str">
        <f>Data!G102</f>
        <v>265</v>
      </c>
      <c r="O103" s="15" t="b">
        <f t="shared" si="7"/>
        <v>1</v>
      </c>
      <c r="P103" s="12" t="str">
        <f>IF(Data!K102=FALSE(),"", Data!K102)</f>
        <v/>
      </c>
      <c r="Q103" s="12" t="str">
        <f>IF(Data!L102=FALSE(),"", Data!L102)</f>
        <v/>
      </c>
      <c r="R103" s="12" t="str">
        <f>IF(Data!M102=FALSE(),"", Data!M102)</f>
        <v/>
      </c>
      <c r="S103" s="12" t="str">
        <f>IF(Data!N102=FALSE(),"", Data!N102)</f>
        <v/>
      </c>
    </row>
    <row r="104" spans="1:19" ht="16.5">
      <c r="A104" s="12" t="str">
        <f>Data!A103</f>
        <v>Demo - 39</v>
      </c>
      <c r="B104" s="12" t="str">
        <f>Data!B103</f>
        <v>Vehicle, Company Group</v>
      </c>
      <c r="C104" s="12" t="str">
        <f>Data!D103</f>
        <v>b27</v>
      </c>
      <c r="D104" s="13">
        <f>Data!E103</f>
        <v>46066.896944444445</v>
      </c>
      <c r="E104" s="56">
        <f t="shared" si="4"/>
        <v>0</v>
      </c>
      <c r="F104" s="12" t="str">
        <f>Data!F103</f>
        <v>Telematics device fault: Check device installation as the accelerometer was disabled due to excessive data</v>
      </c>
      <c r="G104" s="14" t="str">
        <f>Data!A103&amp;" "&amp;Data!F103</f>
        <v>Demo - 39 Telematics device fault: Check device installation as the accelerometer was disabled due to excessive data</v>
      </c>
      <c r="H104" s="56">
        <f>IF(COUNTIF($G$10:G104,G104)&gt;1,0,1)</f>
        <v>0</v>
      </c>
      <c r="I104" s="12" t="str">
        <f>IF(L104=FALSE,Data!J103," ")</f>
        <v xml:space="preserve"> </v>
      </c>
      <c r="J104" s="15" t="b">
        <f t="shared" si="5"/>
        <v>0</v>
      </c>
      <c r="K104" s="12" t="str">
        <f>Data!H103</f>
        <v>Telematics Device</v>
      </c>
      <c r="L104" s="15" t="b">
        <f t="shared" si="6"/>
        <v>1</v>
      </c>
      <c r="M104" s="14" t="str">
        <f>Data!I103</f>
        <v>Telematics device</v>
      </c>
      <c r="N104" s="15" t="str">
        <f>Data!G103</f>
        <v>265</v>
      </c>
      <c r="O104" s="15" t="b">
        <f t="shared" si="7"/>
        <v>1</v>
      </c>
      <c r="P104" s="12" t="str">
        <f>IF(Data!K103=FALSE(),"", Data!K103)</f>
        <v/>
      </c>
      <c r="Q104" s="12" t="str">
        <f>IF(Data!L103=FALSE(),"", Data!L103)</f>
        <v/>
      </c>
      <c r="R104" s="12" t="str">
        <f>IF(Data!M103=FALSE(),"", Data!M103)</f>
        <v/>
      </c>
      <c r="S104" s="12" t="str">
        <f>IF(Data!N103=FALSE(),"", Data!N103)</f>
        <v/>
      </c>
    </row>
    <row r="105" spans="1:19" ht="16.5">
      <c r="A105" s="12" t="str">
        <f>Data!A104</f>
        <v>Demo - 39</v>
      </c>
      <c r="B105" s="12" t="str">
        <f>Data!B104</f>
        <v>Vehicle, Company Group</v>
      </c>
      <c r="C105" s="12" t="str">
        <f>Data!D104</f>
        <v>b27</v>
      </c>
      <c r="D105" s="13">
        <f>Data!E104</f>
        <v>46066.933240740742</v>
      </c>
      <c r="E105" s="56">
        <f t="shared" si="4"/>
        <v>0</v>
      </c>
      <c r="F105" s="12" t="str">
        <f>Data!F104</f>
        <v>Telematics device fault: Check device installation as the accelerometer was disabled due to excessive data</v>
      </c>
      <c r="G105" s="14" t="str">
        <f>Data!A104&amp;" "&amp;Data!F104</f>
        <v>Demo - 39 Telematics device fault: Check device installation as the accelerometer was disabled due to excessive data</v>
      </c>
      <c r="H105" s="56">
        <f>IF(COUNTIF($G$10:G105,G105)&gt;1,0,1)</f>
        <v>0</v>
      </c>
      <c r="I105" s="12" t="str">
        <f>IF(L105=FALSE,Data!J104," ")</f>
        <v xml:space="preserve"> </v>
      </c>
      <c r="J105" s="15" t="b">
        <f t="shared" si="5"/>
        <v>0</v>
      </c>
      <c r="K105" s="12" t="str">
        <f>Data!H104</f>
        <v>Telematics Device</v>
      </c>
      <c r="L105" s="15" t="b">
        <f t="shared" si="6"/>
        <v>1</v>
      </c>
      <c r="M105" s="14" t="str">
        <f>Data!I104</f>
        <v>Telematics device</v>
      </c>
      <c r="N105" s="15" t="str">
        <f>Data!G104</f>
        <v>265</v>
      </c>
      <c r="O105" s="15" t="b">
        <f t="shared" si="7"/>
        <v>1</v>
      </c>
      <c r="P105" s="12" t="str">
        <f>IF(Data!K104=FALSE(),"", Data!K104)</f>
        <v/>
      </c>
      <c r="Q105" s="12" t="str">
        <f>IF(Data!L104=FALSE(),"", Data!L104)</f>
        <v/>
      </c>
      <c r="R105" s="12" t="str">
        <f>IF(Data!M104=FALSE(),"", Data!M104)</f>
        <v/>
      </c>
      <c r="S105" s="12" t="str">
        <f>IF(Data!N104=FALSE(),"", Data!N104)</f>
        <v/>
      </c>
    </row>
    <row r="106" spans="1:19" ht="16.5">
      <c r="A106" s="12" t="str">
        <f>Data!A105</f>
        <v>Demo - 39</v>
      </c>
      <c r="B106" s="12" t="str">
        <f>Data!B105</f>
        <v>Vehicle, Company Group</v>
      </c>
      <c r="C106" s="12" t="str">
        <f>Data!D105</f>
        <v>b27</v>
      </c>
      <c r="D106" s="13">
        <f>Data!E105</f>
        <v>46066.965613425928</v>
      </c>
      <c r="E106" s="56">
        <f t="shared" si="4"/>
        <v>0</v>
      </c>
      <c r="F106" s="12" t="str">
        <f>Data!F105</f>
        <v>Telematics device fault: Check device installation as the accelerometer was disabled due to excessive data</v>
      </c>
      <c r="G106" s="14" t="str">
        <f>Data!A105&amp;" "&amp;Data!F105</f>
        <v>Demo - 39 Telematics device fault: Check device installation as the accelerometer was disabled due to excessive data</v>
      </c>
      <c r="H106" s="56">
        <f>IF(COUNTIF($G$10:G106,G106)&gt;1,0,1)</f>
        <v>0</v>
      </c>
      <c r="I106" s="12" t="str">
        <f>IF(L106=FALSE,Data!J105," ")</f>
        <v xml:space="preserve"> </v>
      </c>
      <c r="J106" s="15" t="b">
        <f t="shared" si="5"/>
        <v>0</v>
      </c>
      <c r="K106" s="12" t="str">
        <f>Data!H105</f>
        <v>Telematics Device</v>
      </c>
      <c r="L106" s="15" t="b">
        <f t="shared" si="6"/>
        <v>1</v>
      </c>
      <c r="M106" s="14" t="str">
        <f>Data!I105</f>
        <v>Telematics device</v>
      </c>
      <c r="N106" s="15" t="str">
        <f>Data!G105</f>
        <v>265</v>
      </c>
      <c r="O106" s="15" t="b">
        <f t="shared" si="7"/>
        <v>1</v>
      </c>
      <c r="P106" s="12" t="str">
        <f>IF(Data!K105=FALSE(),"", Data!K105)</f>
        <v/>
      </c>
      <c r="Q106" s="12" t="str">
        <f>IF(Data!L105=FALSE(),"", Data!L105)</f>
        <v/>
      </c>
      <c r="R106" s="12" t="str">
        <f>IF(Data!M105=FALSE(),"", Data!M105)</f>
        <v/>
      </c>
      <c r="S106" s="12" t="str">
        <f>IF(Data!N105=FALSE(),"", Data!N105)</f>
        <v/>
      </c>
    </row>
    <row r="107" spans="1:19" ht="16.5">
      <c r="A107" s="12" t="str">
        <f>Data!A106</f>
        <v>Demo - 39</v>
      </c>
      <c r="B107" s="12" t="str">
        <f>Data!B106</f>
        <v>Vehicle, Company Group</v>
      </c>
      <c r="C107" s="12" t="str">
        <f>Data!D106</f>
        <v>b27</v>
      </c>
      <c r="D107" s="13">
        <f>Data!E106</f>
        <v>46067.007511574076</v>
      </c>
      <c r="E107" s="56">
        <f t="shared" si="4"/>
        <v>0</v>
      </c>
      <c r="F107" s="12" t="str">
        <f>Data!F106</f>
        <v>Telematics device fault: Check device installation as the accelerometer was disabled due to excessive data</v>
      </c>
      <c r="G107" s="14" t="str">
        <f>Data!A106&amp;" "&amp;Data!F106</f>
        <v>Demo - 39 Telematics device fault: Check device installation as the accelerometer was disabled due to excessive data</v>
      </c>
      <c r="H107" s="56">
        <f>IF(COUNTIF($G$10:G107,G107)&gt;1,0,1)</f>
        <v>0</v>
      </c>
      <c r="I107" s="12" t="str">
        <f>IF(L107=FALSE,Data!J106," ")</f>
        <v xml:space="preserve"> </v>
      </c>
      <c r="J107" s="15" t="b">
        <f t="shared" si="5"/>
        <v>0</v>
      </c>
      <c r="K107" s="12" t="str">
        <f>Data!H106</f>
        <v>Telematics Device</v>
      </c>
      <c r="L107" s="15" t="b">
        <f t="shared" si="6"/>
        <v>1</v>
      </c>
      <c r="M107" s="14" t="str">
        <f>Data!I106</f>
        <v>Telematics device</v>
      </c>
      <c r="N107" s="15" t="str">
        <f>Data!G106</f>
        <v>265</v>
      </c>
      <c r="O107" s="15" t="b">
        <f t="shared" si="7"/>
        <v>1</v>
      </c>
      <c r="P107" s="12" t="str">
        <f>IF(Data!K106=FALSE(),"", Data!K106)</f>
        <v/>
      </c>
      <c r="Q107" s="12" t="str">
        <f>IF(Data!L106=FALSE(),"", Data!L106)</f>
        <v/>
      </c>
      <c r="R107" s="12" t="str">
        <f>IF(Data!M106=FALSE(),"", Data!M106)</f>
        <v/>
      </c>
      <c r="S107" s="12" t="str">
        <f>IF(Data!N106=FALSE(),"", Data!N106)</f>
        <v/>
      </c>
    </row>
    <row r="108" spans="1:19" ht="16.5">
      <c r="A108" s="12" t="str">
        <f>Data!A107</f>
        <v>Demo - 39</v>
      </c>
      <c r="B108" s="12" t="str">
        <f>Data!B107</f>
        <v>Vehicle, Company Group</v>
      </c>
      <c r="C108" s="12" t="str">
        <f>Data!D107</f>
        <v>b27</v>
      </c>
      <c r="D108" s="13">
        <f>Data!E107</f>
        <v>46067.026666666665</v>
      </c>
      <c r="E108" s="56">
        <f t="shared" si="4"/>
        <v>0</v>
      </c>
      <c r="F108" s="12" t="str">
        <f>Data!F107</f>
        <v>Telematics device fault: Check device installation as the accelerometer was disabled due to excessive data</v>
      </c>
      <c r="G108" s="14" t="str">
        <f>Data!A107&amp;" "&amp;Data!F107</f>
        <v>Demo - 39 Telematics device fault: Check device installation as the accelerometer was disabled due to excessive data</v>
      </c>
      <c r="H108" s="56">
        <f>IF(COUNTIF($G$10:G108,G108)&gt;1,0,1)</f>
        <v>0</v>
      </c>
      <c r="I108" s="12" t="str">
        <f>IF(L108=FALSE,Data!J107," ")</f>
        <v xml:space="preserve"> </v>
      </c>
      <c r="J108" s="15" t="b">
        <f t="shared" si="5"/>
        <v>0</v>
      </c>
      <c r="K108" s="12" t="str">
        <f>Data!H107</f>
        <v>Telematics Device</v>
      </c>
      <c r="L108" s="15" t="b">
        <f t="shared" si="6"/>
        <v>1</v>
      </c>
      <c r="M108" s="14" t="str">
        <f>Data!I107</f>
        <v>Telematics device</v>
      </c>
      <c r="N108" s="15" t="str">
        <f>Data!G107</f>
        <v>265</v>
      </c>
      <c r="O108" s="15" t="b">
        <f t="shared" si="7"/>
        <v>1</v>
      </c>
      <c r="P108" s="12" t="str">
        <f>IF(Data!K107=FALSE(),"", Data!K107)</f>
        <v/>
      </c>
      <c r="Q108" s="12" t="str">
        <f>IF(Data!L107=FALSE(),"", Data!L107)</f>
        <v/>
      </c>
      <c r="R108" s="12" t="str">
        <f>IF(Data!M107=FALSE(),"", Data!M107)</f>
        <v/>
      </c>
      <c r="S108" s="12" t="str">
        <f>IF(Data!N107=FALSE(),"", Data!N107)</f>
        <v/>
      </c>
    </row>
    <row r="109" spans="1:19" ht="16.5">
      <c r="A109" s="12" t="str">
        <f>Data!A108</f>
        <v>Demo - 39</v>
      </c>
      <c r="B109" s="12" t="str">
        <f>Data!B108</f>
        <v>Vehicle, Company Group</v>
      </c>
      <c r="C109" s="12" t="str">
        <f>Data!D108</f>
        <v>b27</v>
      </c>
      <c r="D109" s="13">
        <f>Data!E108</f>
        <v>46067.035162037035</v>
      </c>
      <c r="E109" s="56">
        <f t="shared" si="4"/>
        <v>0</v>
      </c>
      <c r="F109" s="12" t="str">
        <f>Data!F108</f>
        <v>Telematics device fault: Check device installation as the accelerometer was disabled due to excessive data</v>
      </c>
      <c r="G109" s="14" t="str">
        <f>Data!A108&amp;" "&amp;Data!F108</f>
        <v>Demo - 39 Telematics device fault: Check device installation as the accelerometer was disabled due to excessive data</v>
      </c>
      <c r="H109" s="56">
        <f>IF(COUNTIF($G$10:G109,G109)&gt;1,0,1)</f>
        <v>0</v>
      </c>
      <c r="I109" s="12" t="str">
        <f>IF(L109=FALSE,Data!J108," ")</f>
        <v xml:space="preserve"> </v>
      </c>
      <c r="J109" s="15" t="b">
        <f t="shared" si="5"/>
        <v>0</v>
      </c>
      <c r="K109" s="12" t="str">
        <f>Data!H108</f>
        <v>Telematics Device</v>
      </c>
      <c r="L109" s="15" t="b">
        <f t="shared" si="6"/>
        <v>1</v>
      </c>
      <c r="M109" s="14" t="str">
        <f>Data!I108</f>
        <v>Telematics device</v>
      </c>
      <c r="N109" s="15" t="str">
        <f>Data!G108</f>
        <v>265</v>
      </c>
      <c r="O109" s="15" t="b">
        <f t="shared" si="7"/>
        <v>1</v>
      </c>
      <c r="P109" s="12" t="str">
        <f>IF(Data!K108=FALSE(),"", Data!K108)</f>
        <v/>
      </c>
      <c r="Q109" s="12" t="str">
        <f>IF(Data!L108=FALSE(),"", Data!L108)</f>
        <v/>
      </c>
      <c r="R109" s="12" t="str">
        <f>IF(Data!M108=FALSE(),"", Data!M108)</f>
        <v/>
      </c>
      <c r="S109" s="12" t="str">
        <f>IF(Data!N108=FALSE(),"", Data!N108)</f>
        <v/>
      </c>
    </row>
    <row r="110" spans="1:19" ht="16.5">
      <c r="A110" s="12" t="str">
        <f>Data!A109</f>
        <v>Demo - 39</v>
      </c>
      <c r="B110" s="12" t="str">
        <f>Data!B109</f>
        <v>Vehicle, Company Group</v>
      </c>
      <c r="C110" s="12" t="str">
        <f>Data!D109</f>
        <v>b27</v>
      </c>
      <c r="D110" s="13">
        <f>Data!E109</f>
        <v>46067.800092592595</v>
      </c>
      <c r="E110" s="56">
        <f t="shared" si="4"/>
        <v>0</v>
      </c>
      <c r="F110" s="12" t="str">
        <f>Data!F109</f>
        <v>Telematics device fault: Check device installation as the accelerometer was disabled due to excessive data</v>
      </c>
      <c r="G110" s="14" t="str">
        <f>Data!A109&amp;" "&amp;Data!F109</f>
        <v>Demo - 39 Telematics device fault: Check device installation as the accelerometer was disabled due to excessive data</v>
      </c>
      <c r="H110" s="56">
        <f>IF(COUNTIF($G$10:G110,G110)&gt;1,0,1)</f>
        <v>0</v>
      </c>
      <c r="I110" s="12" t="str">
        <f>IF(L110=FALSE,Data!J109," ")</f>
        <v xml:space="preserve"> </v>
      </c>
      <c r="J110" s="15" t="b">
        <f t="shared" si="5"/>
        <v>0</v>
      </c>
      <c r="K110" s="12" t="str">
        <f>Data!H109</f>
        <v>Telematics Device</v>
      </c>
      <c r="L110" s="15" t="b">
        <f t="shared" si="6"/>
        <v>1</v>
      </c>
      <c r="M110" s="14" t="str">
        <f>Data!I109</f>
        <v>Telematics device</v>
      </c>
      <c r="N110" s="15" t="str">
        <f>Data!G109</f>
        <v>265</v>
      </c>
      <c r="O110" s="15" t="b">
        <f t="shared" si="7"/>
        <v>1</v>
      </c>
      <c r="P110" s="12" t="str">
        <f>IF(Data!K109=FALSE(),"", Data!K109)</f>
        <v/>
      </c>
      <c r="Q110" s="12" t="str">
        <f>IF(Data!L109=FALSE(),"", Data!L109)</f>
        <v/>
      </c>
      <c r="R110" s="12" t="str">
        <f>IF(Data!M109=FALSE(),"", Data!M109)</f>
        <v/>
      </c>
      <c r="S110" s="12" t="str">
        <f>IF(Data!N109=FALSE(),"", Data!N109)</f>
        <v/>
      </c>
    </row>
    <row r="111" spans="1:19" ht="16.5">
      <c r="A111" s="12" t="str">
        <f>Data!A110</f>
        <v>Demo - 39</v>
      </c>
      <c r="B111" s="12" t="str">
        <f>Data!B110</f>
        <v>Vehicle, Company Group</v>
      </c>
      <c r="C111" s="12" t="str">
        <f>Data!D110</f>
        <v>b27</v>
      </c>
      <c r="D111" s="13">
        <f>Data!E110</f>
        <v>46070.750821759262</v>
      </c>
      <c r="E111" s="56">
        <f t="shared" si="4"/>
        <v>0</v>
      </c>
      <c r="F111" s="12" t="str">
        <f>Data!F110</f>
        <v>Telematics device fault: Check device installation as the accelerometer was disabled due to excessive data</v>
      </c>
      <c r="G111" s="14" t="str">
        <f>Data!A110&amp;" "&amp;Data!F110</f>
        <v>Demo - 39 Telematics device fault: Check device installation as the accelerometer was disabled due to excessive data</v>
      </c>
      <c r="H111" s="56">
        <f>IF(COUNTIF($G$10:G111,G111)&gt;1,0,1)</f>
        <v>0</v>
      </c>
      <c r="I111" s="12" t="str">
        <f>IF(L111=FALSE,Data!J110," ")</f>
        <v xml:space="preserve"> </v>
      </c>
      <c r="J111" s="15" t="b">
        <f t="shared" si="5"/>
        <v>0</v>
      </c>
      <c r="K111" s="12" t="str">
        <f>Data!H110</f>
        <v>Telematics Device</v>
      </c>
      <c r="L111" s="15" t="b">
        <f t="shared" si="6"/>
        <v>1</v>
      </c>
      <c r="M111" s="14" t="str">
        <f>Data!I110</f>
        <v>Telematics device</v>
      </c>
      <c r="N111" s="15" t="str">
        <f>Data!G110</f>
        <v>265</v>
      </c>
      <c r="O111" s="15" t="b">
        <f t="shared" si="7"/>
        <v>1</v>
      </c>
      <c r="P111" s="12" t="str">
        <f>IF(Data!K110=FALSE(),"", Data!K110)</f>
        <v/>
      </c>
      <c r="Q111" s="12" t="str">
        <f>IF(Data!L110=FALSE(),"", Data!L110)</f>
        <v/>
      </c>
      <c r="R111" s="12" t="str">
        <f>IF(Data!M110=FALSE(),"", Data!M110)</f>
        <v/>
      </c>
      <c r="S111" s="12" t="str">
        <f>IF(Data!N110=FALSE(),"", Data!N110)</f>
        <v/>
      </c>
    </row>
    <row r="112" spans="1:19" ht="16.5">
      <c r="A112" s="12" t="str">
        <f>Data!A111</f>
        <v>Demo - 39</v>
      </c>
      <c r="B112" s="12" t="str">
        <f>Data!B111</f>
        <v>Vehicle, Company Group</v>
      </c>
      <c r="C112" s="12" t="str">
        <f>Data!D111</f>
        <v>b27</v>
      </c>
      <c r="D112" s="13">
        <f>Data!E111</f>
        <v>46070.764884259261</v>
      </c>
      <c r="E112" s="56">
        <f t="shared" si="4"/>
        <v>0</v>
      </c>
      <c r="F112" s="12" t="str">
        <f>Data!F111</f>
        <v>Telematics device fault: Check device installation as the accelerometer was disabled due to excessive data</v>
      </c>
      <c r="G112" s="14" t="str">
        <f>Data!A111&amp;" "&amp;Data!F111</f>
        <v>Demo - 39 Telematics device fault: Check device installation as the accelerometer was disabled due to excessive data</v>
      </c>
      <c r="H112" s="56">
        <f>IF(COUNTIF($G$10:G112,G112)&gt;1,0,1)</f>
        <v>0</v>
      </c>
      <c r="I112" s="12" t="str">
        <f>IF(L112=FALSE,Data!J111," ")</f>
        <v xml:space="preserve"> </v>
      </c>
      <c r="J112" s="15" t="b">
        <f t="shared" si="5"/>
        <v>0</v>
      </c>
      <c r="K112" s="12" t="str">
        <f>Data!H111</f>
        <v>Telematics Device</v>
      </c>
      <c r="L112" s="15" t="b">
        <f t="shared" si="6"/>
        <v>1</v>
      </c>
      <c r="M112" s="14" t="str">
        <f>Data!I111</f>
        <v>Telematics device</v>
      </c>
      <c r="N112" s="15" t="str">
        <f>Data!G111</f>
        <v>265</v>
      </c>
      <c r="O112" s="15" t="b">
        <f t="shared" si="7"/>
        <v>1</v>
      </c>
      <c r="P112" s="12" t="str">
        <f>IF(Data!K111=FALSE(),"", Data!K111)</f>
        <v/>
      </c>
      <c r="Q112" s="12" t="str">
        <f>IF(Data!L111=FALSE(),"", Data!L111)</f>
        <v/>
      </c>
      <c r="R112" s="12" t="str">
        <f>IF(Data!M111=FALSE(),"", Data!M111)</f>
        <v/>
      </c>
      <c r="S112" s="12" t="str">
        <f>IF(Data!N111=FALSE(),"", Data!N111)</f>
        <v/>
      </c>
    </row>
    <row r="113" spans="1:19" ht="16.5">
      <c r="A113" s="12" t="str">
        <f>Data!A112</f>
        <v>Demo - 39</v>
      </c>
      <c r="B113" s="12" t="str">
        <f>Data!B112</f>
        <v>Vehicle, Company Group</v>
      </c>
      <c r="C113" s="12" t="str">
        <f>Data!D112</f>
        <v>b27</v>
      </c>
      <c r="D113" s="13">
        <f>Data!E112</f>
        <v>46070.779768518521</v>
      </c>
      <c r="E113" s="56">
        <f t="shared" si="4"/>
        <v>0</v>
      </c>
      <c r="F113" s="12" t="str">
        <f>Data!F112</f>
        <v>Telematics device fault: Check device installation as the accelerometer was disabled due to excessive data</v>
      </c>
      <c r="G113" s="14" t="str">
        <f>Data!A112&amp;" "&amp;Data!F112</f>
        <v>Demo - 39 Telematics device fault: Check device installation as the accelerometer was disabled due to excessive data</v>
      </c>
      <c r="H113" s="56">
        <f>IF(COUNTIF($G$10:G113,G113)&gt;1,0,1)</f>
        <v>0</v>
      </c>
      <c r="I113" s="12" t="str">
        <f>IF(L113=FALSE,Data!J112," ")</f>
        <v xml:space="preserve"> </v>
      </c>
      <c r="J113" s="15" t="b">
        <f t="shared" si="5"/>
        <v>0</v>
      </c>
      <c r="K113" s="12" t="str">
        <f>Data!H112</f>
        <v>Telematics Device</v>
      </c>
      <c r="L113" s="15" t="b">
        <f t="shared" si="6"/>
        <v>1</v>
      </c>
      <c r="M113" s="14" t="str">
        <f>Data!I112</f>
        <v>Telematics device</v>
      </c>
      <c r="N113" s="15" t="str">
        <f>Data!G112</f>
        <v>265</v>
      </c>
      <c r="O113" s="15" t="b">
        <f t="shared" si="7"/>
        <v>1</v>
      </c>
      <c r="P113" s="12" t="str">
        <f>IF(Data!K112=FALSE(),"", Data!K112)</f>
        <v/>
      </c>
      <c r="Q113" s="12" t="str">
        <f>IF(Data!L112=FALSE(),"", Data!L112)</f>
        <v/>
      </c>
      <c r="R113" s="12" t="str">
        <f>IF(Data!M112=FALSE(),"", Data!M112)</f>
        <v/>
      </c>
      <c r="S113" s="12" t="str">
        <f>IF(Data!N112=FALSE(),"", Data!N112)</f>
        <v/>
      </c>
    </row>
    <row r="114" spans="1:19" ht="16.5">
      <c r="A114" s="12" t="str">
        <f>Data!A113</f>
        <v>Demo - 39</v>
      </c>
      <c r="B114" s="12" t="str">
        <f>Data!B113</f>
        <v>Vehicle, Company Group</v>
      </c>
      <c r="C114" s="12" t="str">
        <f>Data!D113</f>
        <v>b27</v>
      </c>
      <c r="D114" s="13">
        <f>Data!E113</f>
        <v>46070.813067129631</v>
      </c>
      <c r="E114" s="56">
        <f t="shared" si="4"/>
        <v>0</v>
      </c>
      <c r="F114" s="12" t="str">
        <f>Data!F113</f>
        <v>Telematics device fault: Check device installation as the accelerometer was disabled due to excessive data</v>
      </c>
      <c r="G114" s="14" t="str">
        <f>Data!A113&amp;" "&amp;Data!F113</f>
        <v>Demo - 39 Telematics device fault: Check device installation as the accelerometer was disabled due to excessive data</v>
      </c>
      <c r="H114" s="56">
        <f>IF(COUNTIF($G$10:G114,G114)&gt;1,0,1)</f>
        <v>0</v>
      </c>
      <c r="I114" s="12" t="str">
        <f>IF(L114=FALSE,Data!J113," ")</f>
        <v xml:space="preserve"> </v>
      </c>
      <c r="J114" s="15" t="b">
        <f t="shared" si="5"/>
        <v>0</v>
      </c>
      <c r="K114" s="12" t="str">
        <f>Data!H113</f>
        <v>Telematics Device</v>
      </c>
      <c r="L114" s="15" t="b">
        <f t="shared" si="6"/>
        <v>1</v>
      </c>
      <c r="M114" s="14" t="str">
        <f>Data!I113</f>
        <v>Telematics device</v>
      </c>
      <c r="N114" s="15" t="str">
        <f>Data!G113</f>
        <v>265</v>
      </c>
      <c r="O114" s="15" t="b">
        <f t="shared" si="7"/>
        <v>1</v>
      </c>
      <c r="P114" s="12" t="str">
        <f>IF(Data!K113=FALSE(),"", Data!K113)</f>
        <v/>
      </c>
      <c r="Q114" s="12" t="str">
        <f>IF(Data!L113=FALSE(),"", Data!L113)</f>
        <v/>
      </c>
      <c r="R114" s="12" t="str">
        <f>IF(Data!M113=FALSE(),"", Data!M113)</f>
        <v/>
      </c>
      <c r="S114" s="12" t="str">
        <f>IF(Data!N113=FALSE(),"", Data!N113)</f>
        <v/>
      </c>
    </row>
    <row r="115" spans="1:19" ht="16.5">
      <c r="A115" s="12" t="str">
        <f>Data!A114</f>
        <v>Demo - 39</v>
      </c>
      <c r="B115" s="12" t="str">
        <f>Data!B114</f>
        <v>Vehicle, Company Group</v>
      </c>
      <c r="C115" s="12" t="str">
        <f>Data!D114</f>
        <v>b27</v>
      </c>
      <c r="D115" s="13">
        <f>Data!E114</f>
        <v>46070.847071759257</v>
      </c>
      <c r="E115" s="56">
        <f t="shared" si="4"/>
        <v>0</v>
      </c>
      <c r="F115" s="12" t="str">
        <f>Data!F114</f>
        <v>Telematics device fault: Check device installation as the accelerometer was disabled due to excessive data</v>
      </c>
      <c r="G115" s="14" t="str">
        <f>Data!A114&amp;" "&amp;Data!F114</f>
        <v>Demo - 39 Telematics device fault: Check device installation as the accelerometer was disabled due to excessive data</v>
      </c>
      <c r="H115" s="56">
        <f>IF(COUNTIF($G$10:G115,G115)&gt;1,0,1)</f>
        <v>0</v>
      </c>
      <c r="I115" s="12" t="str">
        <f>IF(L115=FALSE,Data!J114," ")</f>
        <v xml:space="preserve"> </v>
      </c>
      <c r="J115" s="15" t="b">
        <f t="shared" si="5"/>
        <v>0</v>
      </c>
      <c r="K115" s="12" t="str">
        <f>Data!H114</f>
        <v>Telematics Device</v>
      </c>
      <c r="L115" s="15" t="b">
        <f t="shared" si="6"/>
        <v>1</v>
      </c>
      <c r="M115" s="14" t="str">
        <f>Data!I114</f>
        <v>Telematics device</v>
      </c>
      <c r="N115" s="15" t="str">
        <f>Data!G114</f>
        <v>265</v>
      </c>
      <c r="O115" s="15" t="b">
        <f t="shared" si="7"/>
        <v>1</v>
      </c>
      <c r="P115" s="12" t="str">
        <f>IF(Data!K114=FALSE(),"", Data!K114)</f>
        <v/>
      </c>
      <c r="Q115" s="12" t="str">
        <f>IF(Data!L114=FALSE(),"", Data!L114)</f>
        <v/>
      </c>
      <c r="R115" s="12" t="str">
        <f>IF(Data!M114=FALSE(),"", Data!M114)</f>
        <v/>
      </c>
      <c r="S115" s="12" t="str">
        <f>IF(Data!N114=FALSE(),"", Data!N114)</f>
        <v/>
      </c>
    </row>
    <row r="116" spans="1:19" ht="16.5">
      <c r="A116" s="12" t="str">
        <f>Data!A115</f>
        <v>Demo - 39</v>
      </c>
      <c r="B116" s="12" t="str">
        <f>Data!B115</f>
        <v>Vehicle, Company Group</v>
      </c>
      <c r="C116" s="12" t="str">
        <f>Data!D115</f>
        <v>b27</v>
      </c>
      <c r="D116" s="13">
        <f>Data!E115</f>
        <v>46070.877754629626</v>
      </c>
      <c r="E116" s="56">
        <f t="shared" si="4"/>
        <v>0</v>
      </c>
      <c r="F116" s="12" t="str">
        <f>Data!F115</f>
        <v>Telematics device fault: Check device installation as the accelerometer was disabled due to excessive data</v>
      </c>
      <c r="G116" s="14" t="str">
        <f>Data!A115&amp;" "&amp;Data!F115</f>
        <v>Demo - 39 Telematics device fault: Check device installation as the accelerometer was disabled due to excessive data</v>
      </c>
      <c r="H116" s="56">
        <f>IF(COUNTIF($G$10:G116,G116)&gt;1,0,1)</f>
        <v>0</v>
      </c>
      <c r="I116" s="12" t="str">
        <f>IF(L116=FALSE,Data!J115," ")</f>
        <v xml:space="preserve"> </v>
      </c>
      <c r="J116" s="15" t="b">
        <f t="shared" si="5"/>
        <v>0</v>
      </c>
      <c r="K116" s="12" t="str">
        <f>Data!H115</f>
        <v>Telematics Device</v>
      </c>
      <c r="L116" s="15" t="b">
        <f t="shared" si="6"/>
        <v>1</v>
      </c>
      <c r="M116" s="14" t="str">
        <f>Data!I115</f>
        <v>Telematics device</v>
      </c>
      <c r="N116" s="15" t="str">
        <f>Data!G115</f>
        <v>265</v>
      </c>
      <c r="O116" s="15" t="b">
        <f t="shared" si="7"/>
        <v>1</v>
      </c>
      <c r="P116" s="12" t="str">
        <f>IF(Data!K115=FALSE(),"", Data!K115)</f>
        <v/>
      </c>
      <c r="Q116" s="12" t="str">
        <f>IF(Data!L115=FALSE(),"", Data!L115)</f>
        <v/>
      </c>
      <c r="R116" s="12" t="str">
        <f>IF(Data!M115=FALSE(),"", Data!M115)</f>
        <v/>
      </c>
      <c r="S116" s="12" t="str">
        <f>IF(Data!N115=FALSE(),"", Data!N115)</f>
        <v/>
      </c>
    </row>
    <row r="117" spans="1:19" ht="16.5">
      <c r="A117" s="12" t="str">
        <f>Data!A116</f>
        <v>Demo - 39</v>
      </c>
      <c r="B117" s="12" t="str">
        <f>Data!B116</f>
        <v>Vehicle, Company Group</v>
      </c>
      <c r="C117" s="12" t="str">
        <f>Data!D116</f>
        <v>b27</v>
      </c>
      <c r="D117" s="13">
        <f>Data!E116</f>
        <v>46070.9062037037</v>
      </c>
      <c r="E117" s="56">
        <f t="shared" si="4"/>
        <v>0</v>
      </c>
      <c r="F117" s="12" t="str">
        <f>Data!F116</f>
        <v>Telematics device fault: Check device installation as the accelerometer was disabled due to excessive data</v>
      </c>
      <c r="G117" s="14" t="str">
        <f>Data!A116&amp;" "&amp;Data!F116</f>
        <v>Demo - 39 Telematics device fault: Check device installation as the accelerometer was disabled due to excessive data</v>
      </c>
      <c r="H117" s="56">
        <f>IF(COUNTIF($G$10:G117,G117)&gt;1,0,1)</f>
        <v>0</v>
      </c>
      <c r="I117" s="12" t="str">
        <f>IF(L117=FALSE,Data!J116," ")</f>
        <v xml:space="preserve"> </v>
      </c>
      <c r="J117" s="15" t="b">
        <f t="shared" si="5"/>
        <v>0</v>
      </c>
      <c r="K117" s="12" t="str">
        <f>Data!H116</f>
        <v>Telematics Device</v>
      </c>
      <c r="L117" s="15" t="b">
        <f t="shared" si="6"/>
        <v>1</v>
      </c>
      <c r="M117" s="14" t="str">
        <f>Data!I116</f>
        <v>Telematics device</v>
      </c>
      <c r="N117" s="15" t="str">
        <f>Data!G116</f>
        <v>265</v>
      </c>
      <c r="O117" s="15" t="b">
        <f t="shared" si="7"/>
        <v>1</v>
      </c>
      <c r="P117" s="12" t="str">
        <f>IF(Data!K116=FALSE(),"", Data!K116)</f>
        <v/>
      </c>
      <c r="Q117" s="12" t="str">
        <f>IF(Data!L116=FALSE(),"", Data!L116)</f>
        <v/>
      </c>
      <c r="R117" s="12" t="str">
        <f>IF(Data!M116=FALSE(),"", Data!M116)</f>
        <v/>
      </c>
      <c r="S117" s="12" t="str">
        <f>IF(Data!N116=FALSE(),"", Data!N116)</f>
        <v/>
      </c>
    </row>
    <row r="118" spans="1:19" ht="16.5">
      <c r="A118" s="12" t="str">
        <f>Data!A117</f>
        <v>Demo - 39</v>
      </c>
      <c r="B118" s="12" t="str">
        <f>Data!B117</f>
        <v>Vehicle, Company Group</v>
      </c>
      <c r="C118" s="12" t="str">
        <f>Data!D117</f>
        <v>b27</v>
      </c>
      <c r="D118" s="13">
        <f>Data!E117</f>
        <v>46070.933564814812</v>
      </c>
      <c r="E118" s="56">
        <f t="shared" si="4"/>
        <v>0</v>
      </c>
      <c r="F118" s="12" t="str">
        <f>Data!F117</f>
        <v>Telematics device fault: Check device installation as the accelerometer was disabled due to excessive data</v>
      </c>
      <c r="G118" s="14" t="str">
        <f>Data!A117&amp;" "&amp;Data!F117</f>
        <v>Demo - 39 Telematics device fault: Check device installation as the accelerometer was disabled due to excessive data</v>
      </c>
      <c r="H118" s="56">
        <f>IF(COUNTIF($G$10:G118,G118)&gt;1,0,1)</f>
        <v>0</v>
      </c>
      <c r="I118" s="12" t="str">
        <f>IF(L118=FALSE,Data!J117," ")</f>
        <v xml:space="preserve"> </v>
      </c>
      <c r="J118" s="15" t="b">
        <f t="shared" si="5"/>
        <v>0</v>
      </c>
      <c r="K118" s="12" t="str">
        <f>Data!H117</f>
        <v>Telematics Device</v>
      </c>
      <c r="L118" s="15" t="b">
        <f t="shared" si="6"/>
        <v>1</v>
      </c>
      <c r="M118" s="14" t="str">
        <f>Data!I117</f>
        <v>Telematics device</v>
      </c>
      <c r="N118" s="15" t="str">
        <f>Data!G117</f>
        <v>265</v>
      </c>
      <c r="O118" s="15" t="b">
        <f t="shared" si="7"/>
        <v>1</v>
      </c>
      <c r="P118" s="12" t="str">
        <f>IF(Data!K117=FALSE(),"", Data!K117)</f>
        <v/>
      </c>
      <c r="Q118" s="12" t="str">
        <f>IF(Data!L117=FALSE(),"", Data!L117)</f>
        <v/>
      </c>
      <c r="R118" s="12" t="str">
        <f>IF(Data!M117=FALSE(),"", Data!M117)</f>
        <v/>
      </c>
      <c r="S118" s="12" t="str">
        <f>IF(Data!N117=FALSE(),"", Data!N117)</f>
        <v/>
      </c>
    </row>
    <row r="119" spans="1:19" ht="16.5">
      <c r="A119" s="12" t="str">
        <f>Data!A118</f>
        <v>Demo - 39</v>
      </c>
      <c r="B119" s="12" t="str">
        <f>Data!B118</f>
        <v>Vehicle, Company Group</v>
      </c>
      <c r="C119" s="12" t="str">
        <f>Data!D118</f>
        <v>b27</v>
      </c>
      <c r="D119" s="13">
        <f>Data!E118</f>
        <v>46070.971388888887</v>
      </c>
      <c r="E119" s="56">
        <f t="shared" si="4"/>
        <v>0</v>
      </c>
      <c r="F119" s="12" t="str">
        <f>Data!F118</f>
        <v>Telematics device fault: Check device installation as the accelerometer was disabled due to excessive data</v>
      </c>
      <c r="G119" s="14" t="str">
        <f>Data!A118&amp;" "&amp;Data!F118</f>
        <v>Demo - 39 Telematics device fault: Check device installation as the accelerometer was disabled due to excessive data</v>
      </c>
      <c r="H119" s="56">
        <f>IF(COUNTIF($G$10:G119,G119)&gt;1,0,1)</f>
        <v>0</v>
      </c>
      <c r="I119" s="12" t="str">
        <f>IF(L119=FALSE,Data!J118," ")</f>
        <v xml:space="preserve"> </v>
      </c>
      <c r="J119" s="15" t="b">
        <f t="shared" si="5"/>
        <v>0</v>
      </c>
      <c r="K119" s="12" t="str">
        <f>Data!H118</f>
        <v>Telematics Device</v>
      </c>
      <c r="L119" s="15" t="b">
        <f t="shared" si="6"/>
        <v>1</v>
      </c>
      <c r="M119" s="14" t="str">
        <f>Data!I118</f>
        <v>Telematics device</v>
      </c>
      <c r="N119" s="15" t="str">
        <f>Data!G118</f>
        <v>265</v>
      </c>
      <c r="O119" s="15" t="b">
        <f t="shared" si="7"/>
        <v>1</v>
      </c>
      <c r="P119" s="12" t="str">
        <f>IF(Data!K118=FALSE(),"", Data!K118)</f>
        <v/>
      </c>
      <c r="Q119" s="12" t="str">
        <f>IF(Data!L118=FALSE(),"", Data!L118)</f>
        <v/>
      </c>
      <c r="R119" s="12" t="str">
        <f>IF(Data!M118=FALSE(),"", Data!M118)</f>
        <v/>
      </c>
      <c r="S119" s="12" t="str">
        <f>IF(Data!N118=FALSE(),"", Data!N118)</f>
        <v/>
      </c>
    </row>
    <row r="120" spans="1:19" ht="16.5">
      <c r="A120" s="12" t="str">
        <f>Data!A119</f>
        <v>Demo - 39</v>
      </c>
      <c r="B120" s="12" t="str">
        <f>Data!B119</f>
        <v>Vehicle, Company Group</v>
      </c>
      <c r="C120" s="12" t="str">
        <f>Data!D119</f>
        <v>b27</v>
      </c>
      <c r="D120" s="13">
        <f>Data!E119</f>
        <v>46072.683541666665</v>
      </c>
      <c r="E120" s="56">
        <f t="shared" si="4"/>
        <v>0</v>
      </c>
      <c r="F120" s="12" t="str">
        <f>Data!F119</f>
        <v>Telematics device fault: Check device installation as the accelerometer was disabled due to excessive data</v>
      </c>
      <c r="G120" s="14" t="str">
        <f>Data!A119&amp;" "&amp;Data!F119</f>
        <v>Demo - 39 Telematics device fault: Check device installation as the accelerometer was disabled due to excessive data</v>
      </c>
      <c r="H120" s="56">
        <f>IF(COUNTIF($G$10:G120,G120)&gt;1,0,1)</f>
        <v>0</v>
      </c>
      <c r="I120" s="12" t="str">
        <f>IF(L120=FALSE,Data!J119," ")</f>
        <v xml:space="preserve"> </v>
      </c>
      <c r="J120" s="15" t="b">
        <f t="shared" si="5"/>
        <v>0</v>
      </c>
      <c r="K120" s="12" t="str">
        <f>Data!H119</f>
        <v>Telematics Device</v>
      </c>
      <c r="L120" s="15" t="b">
        <f t="shared" si="6"/>
        <v>1</v>
      </c>
      <c r="M120" s="14" t="str">
        <f>Data!I119</f>
        <v>Telematics device</v>
      </c>
      <c r="N120" s="15" t="str">
        <f>Data!G119</f>
        <v>265</v>
      </c>
      <c r="O120" s="15" t="b">
        <f t="shared" si="7"/>
        <v>1</v>
      </c>
      <c r="P120" s="12" t="str">
        <f>IF(Data!K119=FALSE(),"", Data!K119)</f>
        <v/>
      </c>
      <c r="Q120" s="12" t="str">
        <f>IF(Data!L119=FALSE(),"", Data!L119)</f>
        <v/>
      </c>
      <c r="R120" s="12" t="str">
        <f>IF(Data!M119=FALSE(),"", Data!M119)</f>
        <v/>
      </c>
      <c r="S120" s="12" t="str">
        <f>IF(Data!N119=FALSE(),"", Data!N119)</f>
        <v/>
      </c>
    </row>
    <row r="121" spans="1:19" ht="16.5">
      <c r="A121" s="12" t="str">
        <f>Data!A120</f>
        <v>Demo - 39</v>
      </c>
      <c r="B121" s="12" t="str">
        <f>Data!B120</f>
        <v>Vehicle, Company Group</v>
      </c>
      <c r="C121" s="12" t="str">
        <f>Data!D120</f>
        <v>b27</v>
      </c>
      <c r="D121" s="13">
        <f>Data!E120</f>
        <v>46072.764305555553</v>
      </c>
      <c r="E121" s="56">
        <f t="shared" si="4"/>
        <v>0</v>
      </c>
      <c r="F121" s="12" t="str">
        <f>Data!F120</f>
        <v>Telematics device fault: Check device installation as the accelerometer was disabled due to excessive data</v>
      </c>
      <c r="G121" s="14" t="str">
        <f>Data!A120&amp;" "&amp;Data!F120</f>
        <v>Demo - 39 Telematics device fault: Check device installation as the accelerometer was disabled due to excessive data</v>
      </c>
      <c r="H121" s="56">
        <f>IF(COUNTIF($G$10:G121,G121)&gt;1,0,1)</f>
        <v>0</v>
      </c>
      <c r="I121" s="12" t="str">
        <f>IF(L121=FALSE,Data!J120," ")</f>
        <v xml:space="preserve"> </v>
      </c>
      <c r="J121" s="15" t="b">
        <f t="shared" si="5"/>
        <v>0</v>
      </c>
      <c r="K121" s="12" t="str">
        <f>Data!H120</f>
        <v>Telematics Device</v>
      </c>
      <c r="L121" s="15" t="b">
        <f t="shared" si="6"/>
        <v>1</v>
      </c>
      <c r="M121" s="14" t="str">
        <f>Data!I120</f>
        <v>Telematics device</v>
      </c>
      <c r="N121" s="15" t="str">
        <f>Data!G120</f>
        <v>265</v>
      </c>
      <c r="O121" s="15" t="b">
        <f t="shared" si="7"/>
        <v>1</v>
      </c>
      <c r="P121" s="12" t="str">
        <f>IF(Data!K120=FALSE(),"", Data!K120)</f>
        <v/>
      </c>
      <c r="Q121" s="12" t="str">
        <f>IF(Data!L120=FALSE(),"", Data!L120)</f>
        <v/>
      </c>
      <c r="R121" s="12" t="str">
        <f>IF(Data!M120=FALSE(),"", Data!M120)</f>
        <v/>
      </c>
      <c r="S121" s="12" t="str">
        <f>IF(Data!N120=FALSE(),"", Data!N120)</f>
        <v/>
      </c>
    </row>
    <row r="122" spans="1:19" ht="16.5">
      <c r="A122" s="12" t="str">
        <f>Data!A121</f>
        <v>Demo - 39</v>
      </c>
      <c r="B122" s="12" t="str">
        <f>Data!B121</f>
        <v>Vehicle, Company Group</v>
      </c>
      <c r="C122" s="12" t="str">
        <f>Data!D121</f>
        <v>b27</v>
      </c>
      <c r="D122" s="13">
        <f>Data!E121</f>
        <v>46072.807025462964</v>
      </c>
      <c r="E122" s="56">
        <f t="shared" si="4"/>
        <v>0</v>
      </c>
      <c r="F122" s="12" t="str">
        <f>Data!F121</f>
        <v>Telematics device fault: Check device installation as the accelerometer was disabled due to excessive data</v>
      </c>
      <c r="G122" s="14" t="str">
        <f>Data!A121&amp;" "&amp;Data!F121</f>
        <v>Demo - 39 Telematics device fault: Check device installation as the accelerometer was disabled due to excessive data</v>
      </c>
      <c r="H122" s="56">
        <f>IF(COUNTIF($G$10:G122,G122)&gt;1,0,1)</f>
        <v>0</v>
      </c>
      <c r="I122" s="12" t="str">
        <f>IF(L122=FALSE,Data!J121," ")</f>
        <v xml:space="preserve"> </v>
      </c>
      <c r="J122" s="15" t="b">
        <f t="shared" si="5"/>
        <v>0</v>
      </c>
      <c r="K122" s="12" t="str">
        <f>Data!H121</f>
        <v>Telematics Device</v>
      </c>
      <c r="L122" s="15" t="b">
        <f t="shared" si="6"/>
        <v>1</v>
      </c>
      <c r="M122" s="14" t="str">
        <f>Data!I121</f>
        <v>Telematics device</v>
      </c>
      <c r="N122" s="15" t="str">
        <f>Data!G121</f>
        <v>265</v>
      </c>
      <c r="O122" s="15" t="b">
        <f t="shared" si="7"/>
        <v>1</v>
      </c>
      <c r="P122" s="12" t="str">
        <f>IF(Data!K121=FALSE(),"", Data!K121)</f>
        <v/>
      </c>
      <c r="Q122" s="12" t="str">
        <f>IF(Data!L121=FALSE(),"", Data!L121)</f>
        <v/>
      </c>
      <c r="R122" s="12" t="str">
        <f>IF(Data!M121=FALSE(),"", Data!M121)</f>
        <v/>
      </c>
      <c r="S122" s="12" t="str">
        <f>IF(Data!N121=FALSE(),"", Data!N121)</f>
        <v/>
      </c>
    </row>
    <row r="123" spans="1:19" ht="16.5">
      <c r="A123" s="12" t="str">
        <f>Data!A122</f>
        <v>Demo - 39</v>
      </c>
      <c r="B123" s="12" t="str">
        <f>Data!B122</f>
        <v>Vehicle, Company Group</v>
      </c>
      <c r="C123" s="12" t="str">
        <f>Data!D122</f>
        <v>b27</v>
      </c>
      <c r="D123" s="13">
        <f>Data!E122</f>
        <v>46072.823703703703</v>
      </c>
      <c r="E123" s="56">
        <f t="shared" si="4"/>
        <v>0</v>
      </c>
      <c r="F123" s="12" t="str">
        <f>Data!F122</f>
        <v>Telematics device fault: Check device installation as the accelerometer was disabled due to excessive data</v>
      </c>
      <c r="G123" s="14" t="str">
        <f>Data!A122&amp;" "&amp;Data!F122</f>
        <v>Demo - 39 Telematics device fault: Check device installation as the accelerometer was disabled due to excessive data</v>
      </c>
      <c r="H123" s="56">
        <f>IF(COUNTIF($G$10:G123,G123)&gt;1,0,1)</f>
        <v>0</v>
      </c>
      <c r="I123" s="12" t="str">
        <f>IF(L123=FALSE,Data!J122," ")</f>
        <v xml:space="preserve"> </v>
      </c>
      <c r="J123" s="15" t="b">
        <f t="shared" si="5"/>
        <v>0</v>
      </c>
      <c r="K123" s="12" t="str">
        <f>Data!H122</f>
        <v>Telematics Device</v>
      </c>
      <c r="L123" s="15" t="b">
        <f t="shared" si="6"/>
        <v>1</v>
      </c>
      <c r="M123" s="14" t="str">
        <f>Data!I122</f>
        <v>Telematics device</v>
      </c>
      <c r="N123" s="15" t="str">
        <f>Data!G122</f>
        <v>265</v>
      </c>
      <c r="O123" s="15" t="b">
        <f t="shared" si="7"/>
        <v>1</v>
      </c>
      <c r="P123" s="12" t="str">
        <f>IF(Data!K122=FALSE(),"", Data!K122)</f>
        <v/>
      </c>
      <c r="Q123" s="12" t="str">
        <f>IF(Data!L122=FALSE(),"", Data!L122)</f>
        <v/>
      </c>
      <c r="R123" s="12" t="str">
        <f>IF(Data!M122=FALSE(),"", Data!M122)</f>
        <v/>
      </c>
      <c r="S123" s="12" t="str">
        <f>IF(Data!N122=FALSE(),"", Data!N122)</f>
        <v/>
      </c>
    </row>
    <row r="124" spans="1:19" ht="16.5">
      <c r="A124" s="12" t="str">
        <f>Data!A123</f>
        <v>Demo - 39</v>
      </c>
      <c r="B124" s="12" t="str">
        <f>Data!B123</f>
        <v>Vehicle, Company Group</v>
      </c>
      <c r="C124" s="12" t="str">
        <f>Data!D123</f>
        <v>b27</v>
      </c>
      <c r="D124" s="13">
        <f>Data!E123</f>
        <v>46072.847754629627</v>
      </c>
      <c r="E124" s="56">
        <f t="shared" si="4"/>
        <v>0</v>
      </c>
      <c r="F124" s="12" t="str">
        <f>Data!F123</f>
        <v>Telematics device fault: Check device installation as the accelerometer was disabled due to excessive data</v>
      </c>
      <c r="G124" s="14" t="str">
        <f>Data!A123&amp;" "&amp;Data!F123</f>
        <v>Demo - 39 Telematics device fault: Check device installation as the accelerometer was disabled due to excessive data</v>
      </c>
      <c r="H124" s="56">
        <f>IF(COUNTIF($G$10:G124,G124)&gt;1,0,1)</f>
        <v>0</v>
      </c>
      <c r="I124" s="12" t="str">
        <f>IF(L124=FALSE,Data!J123," ")</f>
        <v xml:space="preserve"> </v>
      </c>
      <c r="J124" s="15" t="b">
        <f t="shared" si="5"/>
        <v>0</v>
      </c>
      <c r="K124" s="12" t="str">
        <f>Data!H123</f>
        <v>Telematics Device</v>
      </c>
      <c r="L124" s="15" t="b">
        <f t="shared" si="6"/>
        <v>1</v>
      </c>
      <c r="M124" s="14" t="str">
        <f>Data!I123</f>
        <v>Telematics device</v>
      </c>
      <c r="N124" s="15" t="str">
        <f>Data!G123</f>
        <v>265</v>
      </c>
      <c r="O124" s="15" t="b">
        <f t="shared" si="7"/>
        <v>1</v>
      </c>
      <c r="P124" s="12" t="str">
        <f>IF(Data!K123=FALSE(),"", Data!K123)</f>
        <v/>
      </c>
      <c r="Q124" s="12" t="str">
        <f>IF(Data!L123=FALSE(),"", Data!L123)</f>
        <v/>
      </c>
      <c r="R124" s="12" t="str">
        <f>IF(Data!M123=FALSE(),"", Data!M123)</f>
        <v/>
      </c>
      <c r="S124" s="12" t="str">
        <f>IF(Data!N123=FALSE(),"", Data!N123)</f>
        <v/>
      </c>
    </row>
    <row r="125" spans="1:19" ht="16.5">
      <c r="A125" s="12" t="str">
        <f>Data!A124</f>
        <v>Demo - 39</v>
      </c>
      <c r="B125" s="12" t="str">
        <f>Data!B124</f>
        <v>Vehicle, Company Group</v>
      </c>
      <c r="C125" s="12" t="str">
        <f>Data!D124</f>
        <v>b27</v>
      </c>
      <c r="D125" s="13">
        <f>Data!E124</f>
        <v>46072.876284722224</v>
      </c>
      <c r="E125" s="56">
        <f t="shared" si="4"/>
        <v>0</v>
      </c>
      <c r="F125" s="12" t="str">
        <f>Data!F124</f>
        <v>Telematics device fault: Check device installation as the accelerometer was disabled due to excessive data</v>
      </c>
      <c r="G125" s="14" t="str">
        <f>Data!A124&amp;" "&amp;Data!F124</f>
        <v>Demo - 39 Telematics device fault: Check device installation as the accelerometer was disabled due to excessive data</v>
      </c>
      <c r="H125" s="56">
        <f>IF(COUNTIF($G$10:G125,G125)&gt;1,0,1)</f>
        <v>0</v>
      </c>
      <c r="I125" s="12" t="str">
        <f>IF(L125=FALSE,Data!J124," ")</f>
        <v xml:space="preserve"> </v>
      </c>
      <c r="J125" s="15" t="b">
        <f t="shared" si="5"/>
        <v>0</v>
      </c>
      <c r="K125" s="12" t="str">
        <f>Data!H124</f>
        <v>Telematics Device</v>
      </c>
      <c r="L125" s="15" t="b">
        <f t="shared" si="6"/>
        <v>1</v>
      </c>
      <c r="M125" s="14" t="str">
        <f>Data!I124</f>
        <v>Telematics device</v>
      </c>
      <c r="N125" s="15" t="str">
        <f>Data!G124</f>
        <v>265</v>
      </c>
      <c r="O125" s="15" t="b">
        <f t="shared" si="7"/>
        <v>1</v>
      </c>
      <c r="P125" s="12" t="str">
        <f>IF(Data!K124=FALSE(),"", Data!K124)</f>
        <v/>
      </c>
      <c r="Q125" s="12" t="str">
        <f>IF(Data!L124=FALSE(),"", Data!L124)</f>
        <v/>
      </c>
      <c r="R125" s="12" t="str">
        <f>IF(Data!M124=FALSE(),"", Data!M124)</f>
        <v/>
      </c>
      <c r="S125" s="12" t="str">
        <f>IF(Data!N124=FALSE(),"", Data!N124)</f>
        <v/>
      </c>
    </row>
    <row r="126" spans="1:19" ht="16.5">
      <c r="A126" s="12" t="str">
        <f>Data!A125</f>
        <v>Demo - 39</v>
      </c>
      <c r="B126" s="12" t="str">
        <f>Data!B125</f>
        <v>Vehicle, Company Group</v>
      </c>
      <c r="C126" s="12" t="str">
        <f>Data!D125</f>
        <v>b27</v>
      </c>
      <c r="D126" s="13">
        <f>Data!E125</f>
        <v>46072.914513888885</v>
      </c>
      <c r="E126" s="56">
        <f t="shared" si="4"/>
        <v>0</v>
      </c>
      <c r="F126" s="12" t="str">
        <f>Data!F125</f>
        <v>Telematics device fault: Check device installation as the accelerometer was disabled due to excessive data</v>
      </c>
      <c r="G126" s="14" t="str">
        <f>Data!A125&amp;" "&amp;Data!F125</f>
        <v>Demo - 39 Telematics device fault: Check device installation as the accelerometer was disabled due to excessive data</v>
      </c>
      <c r="H126" s="56">
        <f>IF(COUNTIF($G$10:G126,G126)&gt;1,0,1)</f>
        <v>0</v>
      </c>
      <c r="I126" s="12" t="str">
        <f>IF(L126=FALSE,Data!J125," ")</f>
        <v xml:space="preserve"> </v>
      </c>
      <c r="J126" s="15" t="b">
        <f t="shared" si="5"/>
        <v>0</v>
      </c>
      <c r="K126" s="12" t="str">
        <f>Data!H125</f>
        <v>Telematics Device</v>
      </c>
      <c r="L126" s="15" t="b">
        <f t="shared" si="6"/>
        <v>1</v>
      </c>
      <c r="M126" s="14" t="str">
        <f>Data!I125</f>
        <v>Telematics device</v>
      </c>
      <c r="N126" s="15" t="str">
        <f>Data!G125</f>
        <v>265</v>
      </c>
      <c r="O126" s="15" t="b">
        <f t="shared" si="7"/>
        <v>1</v>
      </c>
      <c r="P126" s="12" t="str">
        <f>IF(Data!K125=FALSE(),"", Data!K125)</f>
        <v/>
      </c>
      <c r="Q126" s="12" t="str">
        <f>IF(Data!L125=FALSE(),"", Data!L125)</f>
        <v/>
      </c>
      <c r="R126" s="12" t="str">
        <f>IF(Data!M125=FALSE(),"", Data!M125)</f>
        <v/>
      </c>
      <c r="S126" s="12" t="str">
        <f>IF(Data!N125=FALSE(),"", Data!N125)</f>
        <v/>
      </c>
    </row>
    <row r="127" spans="1:19" ht="16.5">
      <c r="A127" s="12" t="str">
        <f>Data!A126</f>
        <v>Demo - 39</v>
      </c>
      <c r="B127" s="12" t="str">
        <f>Data!B126</f>
        <v>Vehicle, Company Group</v>
      </c>
      <c r="C127" s="12" t="str">
        <f>Data!D126</f>
        <v>b27</v>
      </c>
      <c r="D127" s="13">
        <f>Data!E126</f>
        <v>46072.92869212963</v>
      </c>
      <c r="E127" s="56">
        <f t="shared" si="4"/>
        <v>0</v>
      </c>
      <c r="F127" s="12" t="str">
        <f>Data!F126</f>
        <v>Telematics device fault: Check device installation as the accelerometer was disabled due to excessive data</v>
      </c>
      <c r="G127" s="14" t="str">
        <f>Data!A126&amp;" "&amp;Data!F126</f>
        <v>Demo - 39 Telematics device fault: Check device installation as the accelerometer was disabled due to excessive data</v>
      </c>
      <c r="H127" s="56">
        <f>IF(COUNTIF($G$10:G127,G127)&gt;1,0,1)</f>
        <v>0</v>
      </c>
      <c r="I127" s="12" t="str">
        <f>IF(L127=FALSE,Data!J126," ")</f>
        <v xml:space="preserve"> </v>
      </c>
      <c r="J127" s="15" t="b">
        <f t="shared" si="5"/>
        <v>0</v>
      </c>
      <c r="K127" s="12" t="str">
        <f>Data!H126</f>
        <v>Telematics Device</v>
      </c>
      <c r="L127" s="15" t="b">
        <f t="shared" si="6"/>
        <v>1</v>
      </c>
      <c r="M127" s="14" t="str">
        <f>Data!I126</f>
        <v>Telematics device</v>
      </c>
      <c r="N127" s="15" t="str">
        <f>Data!G126</f>
        <v>265</v>
      </c>
      <c r="O127" s="15" t="b">
        <f t="shared" si="7"/>
        <v>1</v>
      </c>
      <c r="P127" s="12" t="str">
        <f>IF(Data!K126=FALSE(),"", Data!K126)</f>
        <v/>
      </c>
      <c r="Q127" s="12" t="str">
        <f>IF(Data!L126=FALSE(),"", Data!L126)</f>
        <v/>
      </c>
      <c r="R127" s="12" t="str">
        <f>IF(Data!M126=FALSE(),"", Data!M126)</f>
        <v/>
      </c>
      <c r="S127" s="12" t="str">
        <f>IF(Data!N126=FALSE(),"", Data!N126)</f>
        <v/>
      </c>
    </row>
    <row r="128" spans="1:19" ht="16.5">
      <c r="A128" s="12" t="str">
        <f>Data!A127</f>
        <v>Demo - 39</v>
      </c>
      <c r="B128" s="12" t="str">
        <f>Data!B127</f>
        <v>Vehicle, Company Group</v>
      </c>
      <c r="C128" s="12" t="str">
        <f>Data!D127</f>
        <v>b27</v>
      </c>
      <c r="D128" s="13">
        <f>Data!E127</f>
        <v>46072.963206018518</v>
      </c>
      <c r="E128" s="56">
        <f t="shared" si="4"/>
        <v>0</v>
      </c>
      <c r="F128" s="12" t="str">
        <f>Data!F127</f>
        <v>Telematics device fault: Check device installation as the accelerometer was disabled due to excessive data</v>
      </c>
      <c r="G128" s="14" t="str">
        <f>Data!A127&amp;" "&amp;Data!F127</f>
        <v>Demo - 39 Telematics device fault: Check device installation as the accelerometer was disabled due to excessive data</v>
      </c>
      <c r="H128" s="56">
        <f>IF(COUNTIF($G$10:G128,G128)&gt;1,0,1)</f>
        <v>0</v>
      </c>
      <c r="I128" s="12" t="str">
        <f>IF(L128=FALSE,Data!J127," ")</f>
        <v xml:space="preserve"> </v>
      </c>
      <c r="J128" s="15" t="b">
        <f t="shared" si="5"/>
        <v>0</v>
      </c>
      <c r="K128" s="12" t="str">
        <f>Data!H127</f>
        <v>Telematics Device</v>
      </c>
      <c r="L128" s="15" t="b">
        <f t="shared" si="6"/>
        <v>1</v>
      </c>
      <c r="M128" s="14" t="str">
        <f>Data!I127</f>
        <v>Telematics device</v>
      </c>
      <c r="N128" s="15" t="str">
        <f>Data!G127</f>
        <v>265</v>
      </c>
      <c r="O128" s="15" t="b">
        <f t="shared" si="7"/>
        <v>1</v>
      </c>
      <c r="P128" s="12" t="str">
        <f>IF(Data!K127=FALSE(),"", Data!K127)</f>
        <v/>
      </c>
      <c r="Q128" s="12" t="str">
        <f>IF(Data!L127=FALSE(),"", Data!L127)</f>
        <v/>
      </c>
      <c r="R128" s="12" t="str">
        <f>IF(Data!M127=FALSE(),"", Data!M127)</f>
        <v/>
      </c>
      <c r="S128" s="12" t="str">
        <f>IF(Data!N127=FALSE(),"", Data!N127)</f>
        <v/>
      </c>
    </row>
    <row r="129" spans="1:19" ht="16.5">
      <c r="A129" s="12" t="str">
        <f>Data!A128</f>
        <v>Demo - 39</v>
      </c>
      <c r="B129" s="12" t="str">
        <f>Data!B128</f>
        <v>Vehicle, Company Group</v>
      </c>
      <c r="C129" s="12" t="str">
        <f>Data!D128</f>
        <v>b27</v>
      </c>
      <c r="D129" s="13">
        <f>Data!E128</f>
        <v>46072.998726851853</v>
      </c>
      <c r="E129" s="56">
        <f t="shared" si="4"/>
        <v>0</v>
      </c>
      <c r="F129" s="12" t="str">
        <f>Data!F128</f>
        <v>Telematics device fault: Check device installation as the accelerometer was disabled due to excessive data</v>
      </c>
      <c r="G129" s="14" t="str">
        <f>Data!A128&amp;" "&amp;Data!F128</f>
        <v>Demo - 39 Telematics device fault: Check device installation as the accelerometer was disabled due to excessive data</v>
      </c>
      <c r="H129" s="56">
        <f>IF(COUNTIF($G$10:G129,G129)&gt;1,0,1)</f>
        <v>0</v>
      </c>
      <c r="I129" s="12" t="str">
        <f>IF(L129=FALSE,Data!J128," ")</f>
        <v xml:space="preserve"> </v>
      </c>
      <c r="J129" s="15" t="b">
        <f t="shared" si="5"/>
        <v>0</v>
      </c>
      <c r="K129" s="12" t="str">
        <f>Data!H128</f>
        <v>Telematics Device</v>
      </c>
      <c r="L129" s="15" t="b">
        <f t="shared" si="6"/>
        <v>1</v>
      </c>
      <c r="M129" s="14" t="str">
        <f>Data!I128</f>
        <v>Telematics device</v>
      </c>
      <c r="N129" s="15" t="str">
        <f>Data!G128</f>
        <v>265</v>
      </c>
      <c r="O129" s="15" t="b">
        <f t="shared" si="7"/>
        <v>1</v>
      </c>
      <c r="P129" s="12" t="str">
        <f>IF(Data!K128=FALSE(),"", Data!K128)</f>
        <v/>
      </c>
      <c r="Q129" s="12" t="str">
        <f>IF(Data!L128=FALSE(),"", Data!L128)</f>
        <v/>
      </c>
      <c r="R129" s="12" t="str">
        <f>IF(Data!M128=FALSE(),"", Data!M128)</f>
        <v/>
      </c>
      <c r="S129" s="12" t="str">
        <f>IF(Data!N128=FALSE(),"", Data!N128)</f>
        <v/>
      </c>
    </row>
    <row r="130" spans="1:19" ht="16.5">
      <c r="A130" s="12" t="str">
        <f>Data!A129</f>
        <v>Demo - 39</v>
      </c>
      <c r="B130" s="12" t="str">
        <f>Data!B129</f>
        <v>Vehicle, Company Group</v>
      </c>
      <c r="C130" s="12" t="str">
        <f>Data!D129</f>
        <v>b27</v>
      </c>
      <c r="D130" s="13">
        <f>Data!E129</f>
        <v>46073.786446759259</v>
      </c>
      <c r="E130" s="56">
        <f t="shared" si="4"/>
        <v>0</v>
      </c>
      <c r="F130" s="12" t="str">
        <f>Data!F129</f>
        <v>Telematics device fault: Check device installation as the accelerometer was disabled due to excessive data</v>
      </c>
      <c r="G130" s="14" t="str">
        <f>Data!A129&amp;" "&amp;Data!F129</f>
        <v>Demo - 39 Telematics device fault: Check device installation as the accelerometer was disabled due to excessive data</v>
      </c>
      <c r="H130" s="56">
        <f>IF(COUNTIF($G$10:G130,G130)&gt;1,0,1)</f>
        <v>0</v>
      </c>
      <c r="I130" s="12" t="str">
        <f>IF(L130=FALSE,Data!J129," ")</f>
        <v xml:space="preserve"> </v>
      </c>
      <c r="J130" s="15" t="b">
        <f t="shared" si="5"/>
        <v>0</v>
      </c>
      <c r="K130" s="12" t="str">
        <f>Data!H129</f>
        <v>Telematics Device</v>
      </c>
      <c r="L130" s="15" t="b">
        <f t="shared" si="6"/>
        <v>1</v>
      </c>
      <c r="M130" s="14" t="str">
        <f>Data!I129</f>
        <v>Telematics device</v>
      </c>
      <c r="N130" s="15" t="str">
        <f>Data!G129</f>
        <v>265</v>
      </c>
      <c r="O130" s="15" t="b">
        <f t="shared" si="7"/>
        <v>1</v>
      </c>
      <c r="P130" s="12" t="str">
        <f>IF(Data!K129=FALSE(),"", Data!K129)</f>
        <v/>
      </c>
      <c r="Q130" s="12" t="str">
        <f>IF(Data!L129=FALSE(),"", Data!L129)</f>
        <v/>
      </c>
      <c r="R130" s="12" t="str">
        <f>IF(Data!M129=FALSE(),"", Data!M129)</f>
        <v/>
      </c>
      <c r="S130" s="12" t="str">
        <f>IF(Data!N129=FALSE(),"", Data!N129)</f>
        <v/>
      </c>
    </row>
    <row r="131" spans="1:19" ht="16.5">
      <c r="A131" s="12" t="str">
        <f>Data!A130</f>
        <v>Demo - 39</v>
      </c>
      <c r="B131" s="12" t="str">
        <f>Data!B130</f>
        <v>Vehicle, Company Group</v>
      </c>
      <c r="C131" s="12" t="str">
        <f>Data!D130</f>
        <v>b27</v>
      </c>
      <c r="D131" s="13">
        <f>Data!E130</f>
        <v>46073.8203125</v>
      </c>
      <c r="E131" s="56">
        <f t="shared" si="4"/>
        <v>0</v>
      </c>
      <c r="F131" s="12" t="str">
        <f>Data!F130</f>
        <v>Telematics device fault: Check device installation as the accelerometer was disabled due to excessive data</v>
      </c>
      <c r="G131" s="14" t="str">
        <f>Data!A130&amp;" "&amp;Data!F130</f>
        <v>Demo - 39 Telematics device fault: Check device installation as the accelerometer was disabled due to excessive data</v>
      </c>
      <c r="H131" s="56">
        <f>IF(COUNTIF($G$10:G131,G131)&gt;1,0,1)</f>
        <v>0</v>
      </c>
      <c r="I131" s="12" t="str">
        <f>IF(L131=FALSE,Data!J130," ")</f>
        <v xml:space="preserve"> </v>
      </c>
      <c r="J131" s="15" t="b">
        <f t="shared" si="5"/>
        <v>0</v>
      </c>
      <c r="K131" s="12" t="str">
        <f>Data!H130</f>
        <v>Telematics Device</v>
      </c>
      <c r="L131" s="15" t="b">
        <f t="shared" si="6"/>
        <v>1</v>
      </c>
      <c r="M131" s="14" t="str">
        <f>Data!I130</f>
        <v>Telematics device</v>
      </c>
      <c r="N131" s="15" t="str">
        <f>Data!G130</f>
        <v>265</v>
      </c>
      <c r="O131" s="15" t="b">
        <f t="shared" si="7"/>
        <v>1</v>
      </c>
      <c r="P131" s="12" t="str">
        <f>IF(Data!K130=FALSE(),"", Data!K130)</f>
        <v/>
      </c>
      <c r="Q131" s="12" t="str">
        <f>IF(Data!L130=FALSE(),"", Data!L130)</f>
        <v/>
      </c>
      <c r="R131" s="12" t="str">
        <f>IF(Data!M130=FALSE(),"", Data!M130)</f>
        <v/>
      </c>
      <c r="S131" s="12" t="str">
        <f>IF(Data!N130=FALSE(),"", Data!N130)</f>
        <v/>
      </c>
    </row>
    <row r="132" spans="1:19" ht="16.5">
      <c r="A132" s="12" t="str">
        <f>Data!A131</f>
        <v>Demo - 39</v>
      </c>
      <c r="B132" s="12" t="str">
        <f>Data!B131</f>
        <v>Vehicle, Company Group</v>
      </c>
      <c r="C132" s="12" t="str">
        <f>Data!D131</f>
        <v>b27</v>
      </c>
      <c r="D132" s="13">
        <f>Data!E131</f>
        <v>46073.854062500002</v>
      </c>
      <c r="E132" s="56">
        <f t="shared" si="4"/>
        <v>0</v>
      </c>
      <c r="F132" s="12" t="str">
        <f>Data!F131</f>
        <v>Telematics device fault: Check device installation as the accelerometer was disabled due to excessive data</v>
      </c>
      <c r="G132" s="14" t="str">
        <f>Data!A131&amp;" "&amp;Data!F131</f>
        <v>Demo - 39 Telematics device fault: Check device installation as the accelerometer was disabled due to excessive data</v>
      </c>
      <c r="H132" s="56">
        <f>IF(COUNTIF($G$10:G132,G132)&gt;1,0,1)</f>
        <v>0</v>
      </c>
      <c r="I132" s="12" t="str">
        <f>IF(L132=FALSE,Data!J131," ")</f>
        <v xml:space="preserve"> </v>
      </c>
      <c r="J132" s="15" t="b">
        <f t="shared" si="5"/>
        <v>0</v>
      </c>
      <c r="K132" s="12" t="str">
        <f>Data!H131</f>
        <v>Telematics Device</v>
      </c>
      <c r="L132" s="15" t="b">
        <f t="shared" si="6"/>
        <v>1</v>
      </c>
      <c r="M132" s="14" t="str">
        <f>Data!I131</f>
        <v>Telematics device</v>
      </c>
      <c r="N132" s="15" t="str">
        <f>Data!G131</f>
        <v>265</v>
      </c>
      <c r="O132" s="15" t="b">
        <f t="shared" si="7"/>
        <v>1</v>
      </c>
      <c r="P132" s="12" t="str">
        <f>IF(Data!K131=FALSE(),"", Data!K131)</f>
        <v/>
      </c>
      <c r="Q132" s="12" t="str">
        <f>IF(Data!L131=FALSE(),"", Data!L131)</f>
        <v/>
      </c>
      <c r="R132" s="12" t="str">
        <f>IF(Data!M131=FALSE(),"", Data!M131)</f>
        <v/>
      </c>
      <c r="S132" s="12" t="str">
        <f>IF(Data!N131=FALSE(),"", Data!N131)</f>
        <v/>
      </c>
    </row>
    <row r="133" spans="1:19" ht="16.5">
      <c r="A133" s="12" t="str">
        <f>Data!A132</f>
        <v>Demo - 39</v>
      </c>
      <c r="B133" s="12" t="str">
        <f>Data!B132</f>
        <v>Vehicle, Company Group</v>
      </c>
      <c r="C133" s="12" t="str">
        <f>Data!D132</f>
        <v>b27</v>
      </c>
      <c r="D133" s="13">
        <f>Data!E132</f>
        <v>46073.883379629631</v>
      </c>
      <c r="E133" s="56">
        <f t="shared" si="4"/>
        <v>0</v>
      </c>
      <c r="F133" s="12" t="str">
        <f>Data!F132</f>
        <v>Telematics device fault: Check device installation as the accelerometer was disabled due to excessive data</v>
      </c>
      <c r="G133" s="14" t="str">
        <f>Data!A132&amp;" "&amp;Data!F132</f>
        <v>Demo - 39 Telematics device fault: Check device installation as the accelerometer was disabled due to excessive data</v>
      </c>
      <c r="H133" s="56">
        <f>IF(COUNTIF($G$10:G133,G133)&gt;1,0,1)</f>
        <v>0</v>
      </c>
      <c r="I133" s="12" t="str">
        <f>IF(L133=FALSE,Data!J132," ")</f>
        <v xml:space="preserve"> </v>
      </c>
      <c r="J133" s="15" t="b">
        <f t="shared" si="5"/>
        <v>0</v>
      </c>
      <c r="K133" s="12" t="str">
        <f>Data!H132</f>
        <v>Telematics Device</v>
      </c>
      <c r="L133" s="15" t="b">
        <f t="shared" si="6"/>
        <v>1</v>
      </c>
      <c r="M133" s="14" t="str">
        <f>Data!I132</f>
        <v>Telematics device</v>
      </c>
      <c r="N133" s="15" t="str">
        <f>Data!G132</f>
        <v>265</v>
      </c>
      <c r="O133" s="15" t="b">
        <f t="shared" si="7"/>
        <v>1</v>
      </c>
      <c r="P133" s="12" t="str">
        <f>IF(Data!K132=FALSE(),"", Data!K132)</f>
        <v/>
      </c>
      <c r="Q133" s="12" t="str">
        <f>IF(Data!L132=FALSE(),"", Data!L132)</f>
        <v/>
      </c>
      <c r="R133" s="12" t="str">
        <f>IF(Data!M132=FALSE(),"", Data!M132)</f>
        <v/>
      </c>
      <c r="S133" s="12" t="str">
        <f>IF(Data!N132=FALSE(),"", Data!N132)</f>
        <v/>
      </c>
    </row>
    <row r="134" spans="1:19" ht="16.5">
      <c r="A134" s="12" t="str">
        <f>Data!A133</f>
        <v>Demo - 39</v>
      </c>
      <c r="B134" s="12" t="str">
        <f>Data!B133</f>
        <v>Vehicle, Company Group</v>
      </c>
      <c r="C134" s="12" t="str">
        <f>Data!D133</f>
        <v>b27</v>
      </c>
      <c r="D134" s="13">
        <f>Data!E133</f>
        <v>46073.914502314816</v>
      </c>
      <c r="E134" s="56">
        <f t="shared" si="4"/>
        <v>0</v>
      </c>
      <c r="F134" s="12" t="str">
        <f>Data!F133</f>
        <v>Telematics device fault: Check device installation as the accelerometer was disabled due to excessive data</v>
      </c>
      <c r="G134" s="14" t="str">
        <f>Data!A133&amp;" "&amp;Data!F133</f>
        <v>Demo - 39 Telematics device fault: Check device installation as the accelerometer was disabled due to excessive data</v>
      </c>
      <c r="H134" s="56">
        <f>IF(COUNTIF($G$10:G134,G134)&gt;1,0,1)</f>
        <v>0</v>
      </c>
      <c r="I134" s="12" t="str">
        <f>IF(L134=FALSE,Data!J133," ")</f>
        <v xml:space="preserve"> </v>
      </c>
      <c r="J134" s="15" t="b">
        <f t="shared" si="5"/>
        <v>0</v>
      </c>
      <c r="K134" s="12" t="str">
        <f>Data!H133</f>
        <v>Telematics Device</v>
      </c>
      <c r="L134" s="15" t="b">
        <f t="shared" si="6"/>
        <v>1</v>
      </c>
      <c r="M134" s="14" t="str">
        <f>Data!I133</f>
        <v>Telematics device</v>
      </c>
      <c r="N134" s="15" t="str">
        <f>Data!G133</f>
        <v>265</v>
      </c>
      <c r="O134" s="15" t="b">
        <f t="shared" si="7"/>
        <v>1</v>
      </c>
      <c r="P134" s="12" t="str">
        <f>IF(Data!K133=FALSE(),"", Data!K133)</f>
        <v/>
      </c>
      <c r="Q134" s="12" t="str">
        <f>IF(Data!L133=FALSE(),"", Data!L133)</f>
        <v/>
      </c>
      <c r="R134" s="12" t="str">
        <f>IF(Data!M133=FALSE(),"", Data!M133)</f>
        <v/>
      </c>
      <c r="S134" s="12" t="str">
        <f>IF(Data!N133=FALSE(),"", Data!N133)</f>
        <v/>
      </c>
    </row>
    <row r="135" spans="1:19" ht="16.5">
      <c r="A135" s="12" t="str">
        <f>Data!A134</f>
        <v>Demo - 39</v>
      </c>
      <c r="B135" s="12" t="str">
        <f>Data!B134</f>
        <v>Vehicle, Company Group</v>
      </c>
      <c r="C135" s="12" t="str">
        <f>Data!D134</f>
        <v>b27</v>
      </c>
      <c r="D135" s="13">
        <f>Data!E134</f>
        <v>46073.941076388888</v>
      </c>
      <c r="E135" s="56">
        <f t="shared" si="4"/>
        <v>0</v>
      </c>
      <c r="F135" s="12" t="str">
        <f>Data!F134</f>
        <v>Telematics device fault: Check device installation as the accelerometer was disabled due to excessive data</v>
      </c>
      <c r="G135" s="14" t="str">
        <f>Data!A134&amp;" "&amp;Data!F134</f>
        <v>Demo - 39 Telematics device fault: Check device installation as the accelerometer was disabled due to excessive data</v>
      </c>
      <c r="H135" s="56">
        <f>IF(COUNTIF($G$10:G135,G135)&gt;1,0,1)</f>
        <v>0</v>
      </c>
      <c r="I135" s="12" t="str">
        <f>IF(L135=FALSE,Data!J134," ")</f>
        <v xml:space="preserve"> </v>
      </c>
      <c r="J135" s="15" t="b">
        <f t="shared" si="5"/>
        <v>0</v>
      </c>
      <c r="K135" s="12" t="str">
        <f>Data!H134</f>
        <v>Telematics Device</v>
      </c>
      <c r="L135" s="15" t="b">
        <f t="shared" si="6"/>
        <v>1</v>
      </c>
      <c r="M135" s="14" t="str">
        <f>Data!I134</f>
        <v>Telematics device</v>
      </c>
      <c r="N135" s="15" t="str">
        <f>Data!G134</f>
        <v>265</v>
      </c>
      <c r="O135" s="15" t="b">
        <f t="shared" si="7"/>
        <v>1</v>
      </c>
      <c r="P135" s="12" t="str">
        <f>IF(Data!K134=FALSE(),"", Data!K134)</f>
        <v/>
      </c>
      <c r="Q135" s="12" t="str">
        <f>IF(Data!L134=FALSE(),"", Data!L134)</f>
        <v/>
      </c>
      <c r="R135" s="12" t="str">
        <f>IF(Data!M134=FALSE(),"", Data!M134)</f>
        <v/>
      </c>
      <c r="S135" s="12" t="str">
        <f>IF(Data!N134=FALSE(),"", Data!N134)</f>
        <v/>
      </c>
    </row>
    <row r="136" spans="1:19" ht="16.5">
      <c r="A136" s="12" t="str">
        <f>Data!A135</f>
        <v>Demo - 39</v>
      </c>
      <c r="B136" s="12" t="str">
        <f>Data!B135</f>
        <v>Vehicle, Company Group</v>
      </c>
      <c r="C136" s="12" t="str">
        <f>Data!D135</f>
        <v>b27</v>
      </c>
      <c r="D136" s="13">
        <f>Data!E135</f>
        <v>46073.974432870367</v>
      </c>
      <c r="E136" s="56">
        <f t="shared" si="4"/>
        <v>0</v>
      </c>
      <c r="F136" s="12" t="str">
        <f>Data!F135</f>
        <v>Telematics device fault: Check device installation as the accelerometer was disabled due to excessive data</v>
      </c>
      <c r="G136" s="14" t="str">
        <f>Data!A135&amp;" "&amp;Data!F135</f>
        <v>Demo - 39 Telematics device fault: Check device installation as the accelerometer was disabled due to excessive data</v>
      </c>
      <c r="H136" s="56">
        <f>IF(COUNTIF($G$10:G136,G136)&gt;1,0,1)</f>
        <v>0</v>
      </c>
      <c r="I136" s="12" t="str">
        <f>IF(L136=FALSE,Data!J135," ")</f>
        <v xml:space="preserve"> </v>
      </c>
      <c r="J136" s="15" t="b">
        <f t="shared" si="5"/>
        <v>0</v>
      </c>
      <c r="K136" s="12" t="str">
        <f>Data!H135</f>
        <v>Telematics Device</v>
      </c>
      <c r="L136" s="15" t="b">
        <f t="shared" si="6"/>
        <v>1</v>
      </c>
      <c r="M136" s="14" t="str">
        <f>Data!I135</f>
        <v>Telematics device</v>
      </c>
      <c r="N136" s="15" t="str">
        <f>Data!G135</f>
        <v>265</v>
      </c>
      <c r="O136" s="15" t="b">
        <f t="shared" si="7"/>
        <v>1</v>
      </c>
      <c r="P136" s="12" t="str">
        <f>IF(Data!K135=FALSE(),"", Data!K135)</f>
        <v/>
      </c>
      <c r="Q136" s="12" t="str">
        <f>IF(Data!L135=FALSE(),"", Data!L135)</f>
        <v/>
      </c>
      <c r="R136" s="12" t="str">
        <f>IF(Data!M135=FALSE(),"", Data!M135)</f>
        <v/>
      </c>
      <c r="S136" s="12" t="str">
        <f>IF(Data!N135=FALSE(),"", Data!N135)</f>
        <v/>
      </c>
    </row>
    <row r="137" spans="1:19" ht="16.5">
      <c r="A137" s="12" t="str">
        <f>Data!A136</f>
        <v>Demo - 39</v>
      </c>
      <c r="B137" s="12" t="str">
        <f>Data!B136</f>
        <v>Vehicle, Company Group</v>
      </c>
      <c r="C137" s="12" t="str">
        <f>Data!D136</f>
        <v>b27</v>
      </c>
      <c r="D137" s="13">
        <f>Data!E136</f>
        <v>46073.998506944445</v>
      </c>
      <c r="E137" s="56">
        <f t="shared" si="4"/>
        <v>0</v>
      </c>
      <c r="F137" s="12" t="str">
        <f>Data!F136</f>
        <v>Telematics device fault: Check device installation as the accelerometer was disabled due to excessive data</v>
      </c>
      <c r="G137" s="14" t="str">
        <f>Data!A136&amp;" "&amp;Data!F136</f>
        <v>Demo - 39 Telematics device fault: Check device installation as the accelerometer was disabled due to excessive data</v>
      </c>
      <c r="H137" s="56">
        <f>IF(COUNTIF($G$10:G137,G137)&gt;1,0,1)</f>
        <v>0</v>
      </c>
      <c r="I137" s="12" t="str">
        <f>IF(L137=FALSE,Data!J136," ")</f>
        <v xml:space="preserve"> </v>
      </c>
      <c r="J137" s="15" t="b">
        <f t="shared" si="5"/>
        <v>0</v>
      </c>
      <c r="K137" s="12" t="str">
        <f>Data!H136</f>
        <v>Telematics Device</v>
      </c>
      <c r="L137" s="15" t="b">
        <f t="shared" si="6"/>
        <v>1</v>
      </c>
      <c r="M137" s="14" t="str">
        <f>Data!I136</f>
        <v>Telematics device</v>
      </c>
      <c r="N137" s="15" t="str">
        <f>Data!G136</f>
        <v>265</v>
      </c>
      <c r="O137" s="15" t="b">
        <f t="shared" si="7"/>
        <v>1</v>
      </c>
      <c r="P137" s="12" t="str">
        <f>IF(Data!K136=FALSE(),"", Data!K136)</f>
        <v/>
      </c>
      <c r="Q137" s="12" t="str">
        <f>IF(Data!L136=FALSE(),"", Data!L136)</f>
        <v/>
      </c>
      <c r="R137" s="12" t="str">
        <f>IF(Data!M136=FALSE(),"", Data!M136)</f>
        <v/>
      </c>
      <c r="S137" s="12" t="str">
        <f>IF(Data!N136=FALSE(),"", Data!N136)</f>
        <v/>
      </c>
    </row>
    <row r="138" spans="1:19" ht="16.5">
      <c r="A138" s="12" t="str">
        <f>Data!A137</f>
        <v>Demo - 39</v>
      </c>
      <c r="B138" s="12" t="str">
        <f>Data!B137</f>
        <v>Vehicle, Company Group</v>
      </c>
      <c r="C138" s="12" t="str">
        <f>Data!D137</f>
        <v>b27</v>
      </c>
      <c r="D138" s="13">
        <f>Data!E137</f>
        <v>46074.004803240743</v>
      </c>
      <c r="E138" s="56">
        <f t="shared" ref="E138:E201" si="8">IF(L138=FALSE,1,0)</f>
        <v>0</v>
      </c>
      <c r="F138" s="12" t="str">
        <f>Data!F137</f>
        <v>Telematics device fault: Check device installation as the accelerometer was disabled due to excessive data</v>
      </c>
      <c r="G138" s="14" t="str">
        <f>Data!A137&amp;" "&amp;Data!F137</f>
        <v>Demo - 39 Telematics device fault: Check device installation as the accelerometer was disabled due to excessive data</v>
      </c>
      <c r="H138" s="56">
        <f>IF(COUNTIF($G$10:G138,G138)&gt;1,0,1)</f>
        <v>0</v>
      </c>
      <c r="I138" s="12" t="str">
        <f>IF(L138=FALSE,Data!J137," ")</f>
        <v xml:space="preserve"> </v>
      </c>
      <c r="J138" s="15" t="b">
        <f t="shared" ref="J138:J201" si="9">ISNUMBER(SEARCH("active",I138))</f>
        <v>0</v>
      </c>
      <c r="K138" s="12" t="str">
        <f>Data!H137</f>
        <v>Telematics Device</v>
      </c>
      <c r="L138" s="15" t="b">
        <f t="shared" ref="L138:L201" si="10">OR(ISNUMBER(SEARCH("telematics",M138)),ISNUMBER(SEARCH("device",M138)))</f>
        <v>1</v>
      </c>
      <c r="M138" s="14" t="str">
        <f>Data!I137</f>
        <v>Telematics device</v>
      </c>
      <c r="N138" s="15" t="str">
        <f>Data!G137</f>
        <v>265</v>
      </c>
      <c r="O138" s="15" t="b">
        <f t="shared" ref="O138:O201" si="11">IF(ISBLANK(A138)=TRUE,FALSE,TRUE)</f>
        <v>1</v>
      </c>
      <c r="P138" s="12" t="str">
        <f>IF(Data!K137=FALSE(),"", Data!K137)</f>
        <v/>
      </c>
      <c r="Q138" s="12" t="str">
        <f>IF(Data!L137=FALSE(),"", Data!L137)</f>
        <v/>
      </c>
      <c r="R138" s="12" t="str">
        <f>IF(Data!M137=FALSE(),"", Data!M137)</f>
        <v/>
      </c>
      <c r="S138" s="12" t="str">
        <f>IF(Data!N137=FALSE(),"", Data!N137)</f>
        <v/>
      </c>
    </row>
    <row r="139" spans="1:19" ht="16.5">
      <c r="A139" s="12" t="str">
        <f>Data!A138</f>
        <v>Demo - 39</v>
      </c>
      <c r="B139" s="12" t="str">
        <f>Data!B138</f>
        <v>Vehicle, Company Group</v>
      </c>
      <c r="C139" s="12" t="str">
        <f>Data!D138</f>
        <v>b27</v>
      </c>
      <c r="D139" s="13">
        <f>Data!E138</f>
        <v>46074.029004629629</v>
      </c>
      <c r="E139" s="56">
        <f t="shared" si="8"/>
        <v>0</v>
      </c>
      <c r="F139" s="12" t="str">
        <f>Data!F138</f>
        <v>Telematics device fault: Check device installation as the accelerometer was disabled due to excessive data</v>
      </c>
      <c r="G139" s="14" t="str">
        <f>Data!A138&amp;" "&amp;Data!F138</f>
        <v>Demo - 39 Telematics device fault: Check device installation as the accelerometer was disabled due to excessive data</v>
      </c>
      <c r="H139" s="56">
        <f>IF(COUNTIF($G$10:G139,G139)&gt;1,0,1)</f>
        <v>0</v>
      </c>
      <c r="I139" s="12" t="str">
        <f>IF(L139=FALSE,Data!J138," ")</f>
        <v xml:space="preserve"> </v>
      </c>
      <c r="J139" s="15" t="b">
        <f t="shared" si="9"/>
        <v>0</v>
      </c>
      <c r="K139" s="12" t="str">
        <f>Data!H138</f>
        <v>Telematics Device</v>
      </c>
      <c r="L139" s="15" t="b">
        <f t="shared" si="10"/>
        <v>1</v>
      </c>
      <c r="M139" s="14" t="str">
        <f>Data!I138</f>
        <v>Telematics device</v>
      </c>
      <c r="N139" s="15" t="str">
        <f>Data!G138</f>
        <v>265</v>
      </c>
      <c r="O139" s="15" t="b">
        <f t="shared" si="11"/>
        <v>1</v>
      </c>
      <c r="P139" s="12" t="str">
        <f>IF(Data!K138=FALSE(),"", Data!K138)</f>
        <v/>
      </c>
      <c r="Q139" s="12" t="str">
        <f>IF(Data!L138=FALSE(),"", Data!L138)</f>
        <v/>
      </c>
      <c r="R139" s="12" t="str">
        <f>IF(Data!M138=FALSE(),"", Data!M138)</f>
        <v/>
      </c>
      <c r="S139" s="12" t="str">
        <f>IF(Data!N138=FALSE(),"", Data!N138)</f>
        <v/>
      </c>
    </row>
    <row r="140" spans="1:19" ht="16.5">
      <c r="A140" s="12" t="str">
        <f>Data!A139</f>
        <v>Demo - 40</v>
      </c>
      <c r="B140" s="12" t="str">
        <f>Data!B139</f>
        <v>Vehicle, Company Group</v>
      </c>
      <c r="C140" s="12" t="str">
        <f>Data!D139</f>
        <v>b28</v>
      </c>
      <c r="D140" s="13">
        <f>Data!E139</f>
        <v>46058.893964120471</v>
      </c>
      <c r="E140" s="56">
        <f t="shared" si="8"/>
        <v>0</v>
      </c>
      <c r="F140" s="12" t="str">
        <f>Data!F139</f>
        <v>Telematics device fault: Check device installation as the accelerometer was disabled due to excessive data</v>
      </c>
      <c r="G140" s="14" t="str">
        <f>Data!A139&amp;" "&amp;Data!F139</f>
        <v>Demo - 40 Telematics device fault: Check device installation as the accelerometer was disabled due to excessive data</v>
      </c>
      <c r="H140" s="56">
        <f>IF(COUNTIF($G$10:G140,G140)&gt;1,0,1)</f>
        <v>1</v>
      </c>
      <c r="I140" s="12" t="str">
        <f>IF(L140=FALSE,Data!J139," ")</f>
        <v xml:space="preserve"> </v>
      </c>
      <c r="J140" s="15" t="b">
        <f t="shared" si="9"/>
        <v>0</v>
      </c>
      <c r="K140" s="12" t="str">
        <f>Data!H139</f>
        <v>Telematics Device</v>
      </c>
      <c r="L140" s="15" t="b">
        <f t="shared" si="10"/>
        <v>1</v>
      </c>
      <c r="M140" s="14" t="str">
        <f>Data!I139</f>
        <v>Telematics device</v>
      </c>
      <c r="N140" s="15" t="str">
        <f>Data!G139</f>
        <v>265</v>
      </c>
      <c r="O140" s="15" t="b">
        <f t="shared" si="11"/>
        <v>1</v>
      </c>
      <c r="P140" s="12" t="str">
        <f>IF(Data!K139=FALSE(),"", Data!K139)</f>
        <v/>
      </c>
      <c r="Q140" s="12" t="str">
        <f>IF(Data!L139=FALSE(),"", Data!L139)</f>
        <v/>
      </c>
      <c r="R140" s="12" t="str">
        <f>IF(Data!M139=FALSE(),"", Data!M139)</f>
        <v/>
      </c>
      <c r="S140" s="12" t="str">
        <f>IF(Data!N139=FALSE(),"", Data!N139)</f>
        <v/>
      </c>
    </row>
    <row r="141" spans="1:19" ht="16.5">
      <c r="A141" s="12" t="str">
        <f>Data!A140</f>
        <v>Demo - 40</v>
      </c>
      <c r="B141" s="12" t="str">
        <f>Data!B140</f>
        <v>Vehicle, Company Group</v>
      </c>
      <c r="C141" s="12" t="str">
        <f>Data!D140</f>
        <v>b28</v>
      </c>
      <c r="D141" s="13">
        <f>Data!E140</f>
        <v>46058.974728009358</v>
      </c>
      <c r="E141" s="56">
        <f t="shared" si="8"/>
        <v>0</v>
      </c>
      <c r="F141" s="12" t="str">
        <f>Data!F140</f>
        <v>Telematics device fault: Check device installation as the accelerometer was disabled due to excessive data</v>
      </c>
      <c r="G141" s="14" t="str">
        <f>Data!A140&amp;" "&amp;Data!F140</f>
        <v>Demo - 40 Telematics device fault: Check device installation as the accelerometer was disabled due to excessive data</v>
      </c>
      <c r="H141" s="56">
        <f>IF(COUNTIF($G$10:G141,G141)&gt;1,0,1)</f>
        <v>0</v>
      </c>
      <c r="I141" s="12" t="str">
        <f>IF(L141=FALSE,Data!J140," ")</f>
        <v xml:space="preserve"> </v>
      </c>
      <c r="J141" s="15" t="b">
        <f t="shared" si="9"/>
        <v>0</v>
      </c>
      <c r="K141" s="12" t="str">
        <f>Data!H140</f>
        <v>Telematics Device</v>
      </c>
      <c r="L141" s="15" t="b">
        <f t="shared" si="10"/>
        <v>1</v>
      </c>
      <c r="M141" s="14" t="str">
        <f>Data!I140</f>
        <v>Telematics device</v>
      </c>
      <c r="N141" s="15" t="str">
        <f>Data!G140</f>
        <v>265</v>
      </c>
      <c r="O141" s="15" t="b">
        <f t="shared" si="11"/>
        <v>1</v>
      </c>
      <c r="P141" s="12" t="str">
        <f>IF(Data!K140=FALSE(),"", Data!K140)</f>
        <v/>
      </c>
      <c r="Q141" s="12" t="str">
        <f>IF(Data!L140=FALSE(),"", Data!L140)</f>
        <v/>
      </c>
      <c r="R141" s="12" t="str">
        <f>IF(Data!M140=FALSE(),"", Data!M140)</f>
        <v/>
      </c>
      <c r="S141" s="12" t="str">
        <f>IF(Data!N140=FALSE(),"", Data!N140)</f>
        <v/>
      </c>
    </row>
    <row r="142" spans="1:19" ht="16.5">
      <c r="A142" s="12" t="str">
        <f>Data!A141</f>
        <v>Demo - 40</v>
      </c>
      <c r="B142" s="12" t="str">
        <f>Data!B141</f>
        <v>Vehicle, Company Group</v>
      </c>
      <c r="C142" s="12" t="str">
        <f>Data!D141</f>
        <v>b28</v>
      </c>
      <c r="D142" s="13">
        <f>Data!E141</f>
        <v>46059.017447916769</v>
      </c>
      <c r="E142" s="56">
        <f t="shared" si="8"/>
        <v>0</v>
      </c>
      <c r="F142" s="12" t="str">
        <f>Data!F141</f>
        <v>Telematics device fault: Check device installation as the accelerometer was disabled due to excessive data</v>
      </c>
      <c r="G142" s="14" t="str">
        <f>Data!A141&amp;" "&amp;Data!F141</f>
        <v>Demo - 40 Telematics device fault: Check device installation as the accelerometer was disabled due to excessive data</v>
      </c>
      <c r="H142" s="56">
        <f>IF(COUNTIF($G$10:G142,G142)&gt;1,0,1)</f>
        <v>0</v>
      </c>
      <c r="I142" s="12" t="str">
        <f>IF(L142=FALSE,Data!J141," ")</f>
        <v xml:space="preserve"> </v>
      </c>
      <c r="J142" s="15" t="b">
        <f t="shared" si="9"/>
        <v>0</v>
      </c>
      <c r="K142" s="12" t="str">
        <f>Data!H141</f>
        <v>Telematics Device</v>
      </c>
      <c r="L142" s="15" t="b">
        <f t="shared" si="10"/>
        <v>1</v>
      </c>
      <c r="M142" s="14" t="str">
        <f>Data!I141</f>
        <v>Telematics device</v>
      </c>
      <c r="N142" s="15" t="str">
        <f>Data!G141</f>
        <v>265</v>
      </c>
      <c r="O142" s="15" t="b">
        <f t="shared" si="11"/>
        <v>1</v>
      </c>
      <c r="P142" s="12" t="str">
        <f>IF(Data!K141=FALSE(),"", Data!K141)</f>
        <v/>
      </c>
      <c r="Q142" s="12" t="str">
        <f>IF(Data!L141=FALSE(),"", Data!L141)</f>
        <v/>
      </c>
      <c r="R142" s="12" t="str">
        <f>IF(Data!M141=FALSE(),"", Data!M141)</f>
        <v/>
      </c>
      <c r="S142" s="12" t="str">
        <f>IF(Data!N141=FALSE(),"", Data!N141)</f>
        <v/>
      </c>
    </row>
    <row r="143" spans="1:19" ht="16.5">
      <c r="A143" s="12" t="str">
        <f>Data!A142</f>
        <v>Demo - 40</v>
      </c>
      <c r="B143" s="12" t="str">
        <f>Data!B142</f>
        <v>Vehicle, Company Group</v>
      </c>
      <c r="C143" s="12" t="str">
        <f>Data!D142</f>
        <v>b28</v>
      </c>
      <c r="D143" s="13">
        <f>Data!E142</f>
        <v>46059.034126157509</v>
      </c>
      <c r="E143" s="56">
        <f t="shared" si="8"/>
        <v>0</v>
      </c>
      <c r="F143" s="12" t="str">
        <f>Data!F142</f>
        <v>Telematics device fault: Check device installation as the accelerometer was disabled due to excessive data</v>
      </c>
      <c r="G143" s="14" t="str">
        <f>Data!A142&amp;" "&amp;Data!F142</f>
        <v>Demo - 40 Telematics device fault: Check device installation as the accelerometer was disabled due to excessive data</v>
      </c>
      <c r="H143" s="56">
        <f>IF(COUNTIF($G$10:G143,G143)&gt;1,0,1)</f>
        <v>0</v>
      </c>
      <c r="I143" s="12" t="str">
        <f>IF(L143=FALSE,Data!J142," ")</f>
        <v xml:space="preserve"> </v>
      </c>
      <c r="J143" s="15" t="b">
        <f t="shared" si="9"/>
        <v>0</v>
      </c>
      <c r="K143" s="12" t="str">
        <f>Data!H142</f>
        <v>Telematics Device</v>
      </c>
      <c r="L143" s="15" t="b">
        <f t="shared" si="10"/>
        <v>1</v>
      </c>
      <c r="M143" s="14" t="str">
        <f>Data!I142</f>
        <v>Telematics device</v>
      </c>
      <c r="N143" s="15" t="str">
        <f>Data!G142</f>
        <v>265</v>
      </c>
      <c r="O143" s="15" t="b">
        <f t="shared" si="11"/>
        <v>1</v>
      </c>
      <c r="P143" s="12" t="str">
        <f>IF(Data!K142=FALSE(),"", Data!K142)</f>
        <v/>
      </c>
      <c r="Q143" s="12" t="str">
        <f>IF(Data!L142=FALSE(),"", Data!L142)</f>
        <v/>
      </c>
      <c r="R143" s="12" t="str">
        <f>IF(Data!M142=FALSE(),"", Data!M142)</f>
        <v/>
      </c>
      <c r="S143" s="12" t="str">
        <f>IF(Data!N142=FALSE(),"", Data!N142)</f>
        <v/>
      </c>
    </row>
    <row r="144" spans="1:19" ht="16.5">
      <c r="A144" s="12" t="str">
        <f>Data!A143</f>
        <v>Demo - 40</v>
      </c>
      <c r="B144" s="12" t="str">
        <f>Data!B143</f>
        <v>Vehicle, Company Group</v>
      </c>
      <c r="C144" s="12" t="str">
        <f>Data!D143</f>
        <v>b28</v>
      </c>
      <c r="D144" s="13">
        <f>Data!E143</f>
        <v>46059.058177083432</v>
      </c>
      <c r="E144" s="56">
        <f t="shared" si="8"/>
        <v>0</v>
      </c>
      <c r="F144" s="12" t="str">
        <f>Data!F143</f>
        <v>Telematics device fault: Check device installation as the accelerometer was disabled due to excessive data</v>
      </c>
      <c r="G144" s="14" t="str">
        <f>Data!A143&amp;" "&amp;Data!F143</f>
        <v>Demo - 40 Telematics device fault: Check device installation as the accelerometer was disabled due to excessive data</v>
      </c>
      <c r="H144" s="56">
        <f>IF(COUNTIF($G$10:G144,G144)&gt;1,0,1)</f>
        <v>0</v>
      </c>
      <c r="I144" s="12" t="str">
        <f>IF(L144=FALSE,Data!J143," ")</f>
        <v xml:space="preserve"> </v>
      </c>
      <c r="J144" s="15" t="b">
        <f t="shared" si="9"/>
        <v>0</v>
      </c>
      <c r="K144" s="12" t="str">
        <f>Data!H143</f>
        <v>Telematics Device</v>
      </c>
      <c r="L144" s="15" t="b">
        <f t="shared" si="10"/>
        <v>1</v>
      </c>
      <c r="M144" s="14" t="str">
        <f>Data!I143</f>
        <v>Telematics device</v>
      </c>
      <c r="N144" s="15" t="str">
        <f>Data!G143</f>
        <v>265</v>
      </c>
      <c r="O144" s="15" t="b">
        <f t="shared" si="11"/>
        <v>1</v>
      </c>
      <c r="P144" s="12" t="str">
        <f>IF(Data!K143=FALSE(),"", Data!K143)</f>
        <v/>
      </c>
      <c r="Q144" s="12" t="str">
        <f>IF(Data!L143=FALSE(),"", Data!L143)</f>
        <v/>
      </c>
      <c r="R144" s="12" t="str">
        <f>IF(Data!M143=FALSE(),"", Data!M143)</f>
        <v/>
      </c>
      <c r="S144" s="12" t="str">
        <f>IF(Data!N143=FALSE(),"", Data!N143)</f>
        <v/>
      </c>
    </row>
    <row r="145" spans="1:19" ht="16.5">
      <c r="A145" s="12" t="str">
        <f>Data!A144</f>
        <v>Demo - 40</v>
      </c>
      <c r="B145" s="12" t="str">
        <f>Data!B144</f>
        <v>Vehicle, Company Group</v>
      </c>
      <c r="C145" s="12" t="str">
        <f>Data!D144</f>
        <v>b28</v>
      </c>
      <c r="D145" s="13">
        <f>Data!E144</f>
        <v>46059.086707176029</v>
      </c>
      <c r="E145" s="56">
        <f t="shared" si="8"/>
        <v>0</v>
      </c>
      <c r="F145" s="12" t="str">
        <f>Data!F144</f>
        <v>Telematics device fault: Check device installation as the accelerometer was disabled due to excessive data</v>
      </c>
      <c r="G145" s="14" t="str">
        <f>Data!A144&amp;" "&amp;Data!F144</f>
        <v>Demo - 40 Telematics device fault: Check device installation as the accelerometer was disabled due to excessive data</v>
      </c>
      <c r="H145" s="56">
        <f>IF(COUNTIF($G$10:G145,G145)&gt;1,0,1)</f>
        <v>0</v>
      </c>
      <c r="I145" s="12" t="str">
        <f>IF(L145=FALSE,Data!J144," ")</f>
        <v xml:space="preserve"> </v>
      </c>
      <c r="J145" s="15" t="b">
        <f t="shared" si="9"/>
        <v>0</v>
      </c>
      <c r="K145" s="12" t="str">
        <f>Data!H144</f>
        <v>Telematics Device</v>
      </c>
      <c r="L145" s="15" t="b">
        <f t="shared" si="10"/>
        <v>1</v>
      </c>
      <c r="M145" s="14" t="str">
        <f>Data!I144</f>
        <v>Telematics device</v>
      </c>
      <c r="N145" s="15" t="str">
        <f>Data!G144</f>
        <v>265</v>
      </c>
      <c r="O145" s="15" t="b">
        <f t="shared" si="11"/>
        <v>1</v>
      </c>
      <c r="P145" s="12" t="str">
        <f>IF(Data!K144=FALSE(),"", Data!K144)</f>
        <v/>
      </c>
      <c r="Q145" s="12" t="str">
        <f>IF(Data!L144=FALSE(),"", Data!L144)</f>
        <v/>
      </c>
      <c r="R145" s="12" t="str">
        <f>IF(Data!M144=FALSE(),"", Data!M144)</f>
        <v/>
      </c>
      <c r="S145" s="12" t="str">
        <f>IF(Data!N144=FALSE(),"", Data!N144)</f>
        <v/>
      </c>
    </row>
    <row r="146" spans="1:19" ht="16.5">
      <c r="A146" s="12" t="str">
        <f>Data!A145</f>
        <v>Demo - 40</v>
      </c>
      <c r="B146" s="12" t="str">
        <f>Data!B145</f>
        <v>Vehicle, Company Group</v>
      </c>
      <c r="C146" s="12" t="str">
        <f>Data!D145</f>
        <v>b28</v>
      </c>
      <c r="D146" s="13">
        <f>Data!E145</f>
        <v>46059.124936342698</v>
      </c>
      <c r="E146" s="56">
        <f t="shared" si="8"/>
        <v>0</v>
      </c>
      <c r="F146" s="12" t="str">
        <f>Data!F145</f>
        <v>Telematics device fault: Check device installation as the accelerometer was disabled due to excessive data</v>
      </c>
      <c r="G146" s="14" t="str">
        <f>Data!A145&amp;" "&amp;Data!F145</f>
        <v>Demo - 40 Telematics device fault: Check device installation as the accelerometer was disabled due to excessive data</v>
      </c>
      <c r="H146" s="56">
        <f>IF(COUNTIF($G$10:G146,G146)&gt;1,0,1)</f>
        <v>0</v>
      </c>
      <c r="I146" s="12" t="str">
        <f>IF(L146=FALSE,Data!J145," ")</f>
        <v xml:space="preserve"> </v>
      </c>
      <c r="J146" s="15" t="b">
        <f t="shared" si="9"/>
        <v>0</v>
      </c>
      <c r="K146" s="12" t="str">
        <f>Data!H145</f>
        <v>Telematics Device</v>
      </c>
      <c r="L146" s="15" t="b">
        <f t="shared" si="10"/>
        <v>1</v>
      </c>
      <c r="M146" s="14" t="str">
        <f>Data!I145</f>
        <v>Telematics device</v>
      </c>
      <c r="N146" s="15" t="str">
        <f>Data!G145</f>
        <v>265</v>
      </c>
      <c r="O146" s="15" t="b">
        <f t="shared" si="11"/>
        <v>1</v>
      </c>
      <c r="P146" s="12" t="str">
        <f>IF(Data!K145=FALSE(),"", Data!K145)</f>
        <v/>
      </c>
      <c r="Q146" s="12" t="str">
        <f>IF(Data!L145=FALSE(),"", Data!L145)</f>
        <v/>
      </c>
      <c r="R146" s="12" t="str">
        <f>IF(Data!M145=FALSE(),"", Data!M145)</f>
        <v/>
      </c>
      <c r="S146" s="12" t="str">
        <f>IF(Data!N145=FALSE(),"", Data!N145)</f>
        <v/>
      </c>
    </row>
    <row r="147" spans="1:19" ht="16.5">
      <c r="A147" s="12" t="str">
        <f>Data!A146</f>
        <v>Demo - 40</v>
      </c>
      <c r="B147" s="12" t="str">
        <f>Data!B146</f>
        <v>Vehicle, Company Group</v>
      </c>
      <c r="C147" s="12" t="str">
        <f>Data!D146</f>
        <v>b28</v>
      </c>
      <c r="D147" s="13">
        <f>Data!E146</f>
        <v>46059.139114583435</v>
      </c>
      <c r="E147" s="56">
        <f t="shared" si="8"/>
        <v>0</v>
      </c>
      <c r="F147" s="12" t="str">
        <f>Data!F146</f>
        <v>Telematics device fault: Check device installation as the accelerometer was disabled due to excessive data</v>
      </c>
      <c r="G147" s="14" t="str">
        <f>Data!A146&amp;" "&amp;Data!F146</f>
        <v>Demo - 40 Telematics device fault: Check device installation as the accelerometer was disabled due to excessive data</v>
      </c>
      <c r="H147" s="56">
        <f>IF(COUNTIF($G$10:G147,G147)&gt;1,0,1)</f>
        <v>0</v>
      </c>
      <c r="I147" s="12" t="str">
        <f>IF(L147=FALSE,Data!J146," ")</f>
        <v xml:space="preserve"> </v>
      </c>
      <c r="J147" s="15" t="b">
        <f t="shared" si="9"/>
        <v>0</v>
      </c>
      <c r="K147" s="12" t="str">
        <f>Data!H146</f>
        <v>Telematics Device</v>
      </c>
      <c r="L147" s="15" t="b">
        <f t="shared" si="10"/>
        <v>1</v>
      </c>
      <c r="M147" s="14" t="str">
        <f>Data!I146</f>
        <v>Telematics device</v>
      </c>
      <c r="N147" s="15" t="str">
        <f>Data!G146</f>
        <v>265</v>
      </c>
      <c r="O147" s="15" t="b">
        <f t="shared" si="11"/>
        <v>1</v>
      </c>
      <c r="P147" s="12" t="str">
        <f>IF(Data!K146=FALSE(),"", Data!K146)</f>
        <v/>
      </c>
      <c r="Q147" s="12" t="str">
        <f>IF(Data!L146=FALSE(),"", Data!L146)</f>
        <v/>
      </c>
      <c r="R147" s="12" t="str">
        <f>IF(Data!M146=FALSE(),"", Data!M146)</f>
        <v/>
      </c>
      <c r="S147" s="12" t="str">
        <f>IF(Data!N146=FALSE(),"", Data!N146)</f>
        <v/>
      </c>
    </row>
    <row r="148" spans="1:19" ht="16.5">
      <c r="A148" s="12" t="str">
        <f>Data!A147</f>
        <v>Demo - 40</v>
      </c>
      <c r="B148" s="12" t="str">
        <f>Data!B147</f>
        <v>Vehicle, Company Group</v>
      </c>
      <c r="C148" s="12" t="str">
        <f>Data!D147</f>
        <v>b28</v>
      </c>
      <c r="D148" s="13">
        <f>Data!E147</f>
        <v>46059.173628472323</v>
      </c>
      <c r="E148" s="56">
        <f t="shared" si="8"/>
        <v>0</v>
      </c>
      <c r="F148" s="12" t="str">
        <f>Data!F147</f>
        <v>Telematics device fault: Check device installation as the accelerometer was disabled due to excessive data</v>
      </c>
      <c r="G148" s="14" t="str">
        <f>Data!A147&amp;" "&amp;Data!F147</f>
        <v>Demo - 40 Telematics device fault: Check device installation as the accelerometer was disabled due to excessive data</v>
      </c>
      <c r="H148" s="56">
        <f>IF(COUNTIF($G$10:G148,G148)&gt;1,0,1)</f>
        <v>0</v>
      </c>
      <c r="I148" s="12" t="str">
        <f>IF(L148=FALSE,Data!J147," ")</f>
        <v xml:space="preserve"> </v>
      </c>
      <c r="J148" s="15" t="b">
        <f t="shared" si="9"/>
        <v>0</v>
      </c>
      <c r="K148" s="12" t="str">
        <f>Data!H147</f>
        <v>Telematics Device</v>
      </c>
      <c r="L148" s="15" t="b">
        <f t="shared" si="10"/>
        <v>1</v>
      </c>
      <c r="M148" s="14" t="str">
        <f>Data!I147</f>
        <v>Telematics device</v>
      </c>
      <c r="N148" s="15" t="str">
        <f>Data!G147</f>
        <v>265</v>
      </c>
      <c r="O148" s="15" t="b">
        <f t="shared" si="11"/>
        <v>1</v>
      </c>
      <c r="P148" s="12" t="str">
        <f>IF(Data!K147=FALSE(),"", Data!K147)</f>
        <v/>
      </c>
      <c r="Q148" s="12" t="str">
        <f>IF(Data!L147=FALSE(),"", Data!L147)</f>
        <v/>
      </c>
      <c r="R148" s="12" t="str">
        <f>IF(Data!M147=FALSE(),"", Data!M147)</f>
        <v/>
      </c>
      <c r="S148" s="12" t="str">
        <f>IF(Data!N147=FALSE(),"", Data!N147)</f>
        <v/>
      </c>
    </row>
    <row r="149" spans="1:19" ht="16.5">
      <c r="A149" s="12" t="str">
        <f>Data!A148</f>
        <v>Demo - 40</v>
      </c>
      <c r="B149" s="12" t="str">
        <f>Data!B148</f>
        <v>Vehicle, Company Group</v>
      </c>
      <c r="C149" s="12" t="str">
        <f>Data!D148</f>
        <v>b28</v>
      </c>
      <c r="D149" s="13">
        <f>Data!E148</f>
        <v>46059.209149305658</v>
      </c>
      <c r="E149" s="56">
        <f t="shared" si="8"/>
        <v>0</v>
      </c>
      <c r="F149" s="12" t="str">
        <f>Data!F148</f>
        <v>Telematics device fault: Check device installation as the accelerometer was disabled due to excessive data</v>
      </c>
      <c r="G149" s="14" t="str">
        <f>Data!A148&amp;" "&amp;Data!F148</f>
        <v>Demo - 40 Telematics device fault: Check device installation as the accelerometer was disabled due to excessive data</v>
      </c>
      <c r="H149" s="56">
        <f>IF(COUNTIF($G$10:G149,G149)&gt;1,0,1)</f>
        <v>0</v>
      </c>
      <c r="I149" s="12" t="str">
        <f>IF(L149=FALSE,Data!J148," ")</f>
        <v xml:space="preserve"> </v>
      </c>
      <c r="J149" s="15" t="b">
        <f t="shared" si="9"/>
        <v>0</v>
      </c>
      <c r="K149" s="12" t="str">
        <f>Data!H148</f>
        <v>Telematics Device</v>
      </c>
      <c r="L149" s="15" t="b">
        <f t="shared" si="10"/>
        <v>1</v>
      </c>
      <c r="M149" s="14" t="str">
        <f>Data!I148</f>
        <v>Telematics device</v>
      </c>
      <c r="N149" s="15" t="str">
        <f>Data!G148</f>
        <v>265</v>
      </c>
      <c r="O149" s="15" t="b">
        <f t="shared" si="11"/>
        <v>1</v>
      </c>
      <c r="P149" s="12" t="str">
        <f>IF(Data!K148=FALSE(),"", Data!K148)</f>
        <v/>
      </c>
      <c r="Q149" s="12" t="str">
        <f>IF(Data!L148=FALSE(),"", Data!L148)</f>
        <v/>
      </c>
      <c r="R149" s="12" t="str">
        <f>IF(Data!M148=FALSE(),"", Data!M148)</f>
        <v/>
      </c>
      <c r="S149" s="12" t="str">
        <f>IF(Data!N148=FALSE(),"", Data!N148)</f>
        <v/>
      </c>
    </row>
    <row r="150" spans="1:19" ht="16.5">
      <c r="A150" s="12" t="str">
        <f>Data!A149</f>
        <v>Demo - 40</v>
      </c>
      <c r="B150" s="12" t="str">
        <f>Data!B149</f>
        <v>Vehicle, Company Group</v>
      </c>
      <c r="C150" s="12" t="str">
        <f>Data!D149</f>
        <v>b28</v>
      </c>
      <c r="D150" s="13">
        <f>Data!E149</f>
        <v>46059.996869213064</v>
      </c>
      <c r="E150" s="56">
        <f t="shared" si="8"/>
        <v>0</v>
      </c>
      <c r="F150" s="12" t="str">
        <f>Data!F149</f>
        <v>Telematics device fault: Check device installation as the accelerometer was disabled due to excessive data</v>
      </c>
      <c r="G150" s="14" t="str">
        <f>Data!A149&amp;" "&amp;Data!F149</f>
        <v>Demo - 40 Telematics device fault: Check device installation as the accelerometer was disabled due to excessive data</v>
      </c>
      <c r="H150" s="56">
        <f>IF(COUNTIF($G$10:G150,G150)&gt;1,0,1)</f>
        <v>0</v>
      </c>
      <c r="I150" s="12" t="str">
        <f>IF(L150=FALSE,Data!J149," ")</f>
        <v xml:space="preserve"> </v>
      </c>
      <c r="J150" s="15" t="b">
        <f t="shared" si="9"/>
        <v>0</v>
      </c>
      <c r="K150" s="12" t="str">
        <f>Data!H149</f>
        <v>Telematics Device</v>
      </c>
      <c r="L150" s="15" t="b">
        <f t="shared" si="10"/>
        <v>1</v>
      </c>
      <c r="M150" s="14" t="str">
        <f>Data!I149</f>
        <v>Telematics device</v>
      </c>
      <c r="N150" s="15" t="str">
        <f>Data!G149</f>
        <v>265</v>
      </c>
      <c r="O150" s="15" t="b">
        <f t="shared" si="11"/>
        <v>1</v>
      </c>
      <c r="P150" s="12" t="str">
        <f>IF(Data!K149=FALSE(),"", Data!K149)</f>
        <v/>
      </c>
      <c r="Q150" s="12" t="str">
        <f>IF(Data!L149=FALSE(),"", Data!L149)</f>
        <v/>
      </c>
      <c r="R150" s="12" t="str">
        <f>IF(Data!M149=FALSE(),"", Data!M149)</f>
        <v/>
      </c>
      <c r="S150" s="12" t="str">
        <f>IF(Data!N149=FALSE(),"", Data!N149)</f>
        <v/>
      </c>
    </row>
    <row r="151" spans="1:19" ht="16.5">
      <c r="A151" s="12" t="str">
        <f>Data!A150</f>
        <v>Demo - 40</v>
      </c>
      <c r="B151" s="12" t="str">
        <f>Data!B150</f>
        <v>Vehicle, Company Group</v>
      </c>
      <c r="C151" s="12" t="str">
        <f>Data!D150</f>
        <v>b28</v>
      </c>
      <c r="D151" s="13">
        <f>Data!E150</f>
        <v>46060.030734953805</v>
      </c>
      <c r="E151" s="56">
        <f t="shared" si="8"/>
        <v>0</v>
      </c>
      <c r="F151" s="12" t="str">
        <f>Data!F150</f>
        <v>Telematics device fault: Check device installation as the accelerometer was disabled due to excessive data</v>
      </c>
      <c r="G151" s="14" t="str">
        <f>Data!A150&amp;" "&amp;Data!F150</f>
        <v>Demo - 40 Telematics device fault: Check device installation as the accelerometer was disabled due to excessive data</v>
      </c>
      <c r="H151" s="56">
        <f>IF(COUNTIF($G$10:G151,G151)&gt;1,0,1)</f>
        <v>0</v>
      </c>
      <c r="I151" s="12" t="str">
        <f>IF(L151=FALSE,Data!J150," ")</f>
        <v xml:space="preserve"> </v>
      </c>
      <c r="J151" s="15" t="b">
        <f t="shared" si="9"/>
        <v>0</v>
      </c>
      <c r="K151" s="12" t="str">
        <f>Data!H150</f>
        <v>Telematics Device</v>
      </c>
      <c r="L151" s="15" t="b">
        <f t="shared" si="10"/>
        <v>1</v>
      </c>
      <c r="M151" s="14" t="str">
        <f>Data!I150</f>
        <v>Telematics device</v>
      </c>
      <c r="N151" s="15" t="str">
        <f>Data!G150</f>
        <v>265</v>
      </c>
      <c r="O151" s="15" t="b">
        <f t="shared" si="11"/>
        <v>1</v>
      </c>
      <c r="P151" s="12" t="str">
        <f>IF(Data!K150=FALSE(),"", Data!K150)</f>
        <v/>
      </c>
      <c r="Q151" s="12" t="str">
        <f>IF(Data!L150=FALSE(),"", Data!L150)</f>
        <v/>
      </c>
      <c r="R151" s="12" t="str">
        <f>IF(Data!M150=FALSE(),"", Data!M150)</f>
        <v/>
      </c>
      <c r="S151" s="12" t="str">
        <f>IF(Data!N150=FALSE(),"", Data!N150)</f>
        <v/>
      </c>
    </row>
    <row r="152" spans="1:19" ht="16.5">
      <c r="A152" s="12" t="str">
        <f>Data!A151</f>
        <v>Demo - 40</v>
      </c>
      <c r="B152" s="12" t="str">
        <f>Data!B151</f>
        <v>Vehicle, Company Group</v>
      </c>
      <c r="C152" s="12" t="str">
        <f>Data!D151</f>
        <v>b28</v>
      </c>
      <c r="D152" s="13">
        <f>Data!E151</f>
        <v>46060.064484953808</v>
      </c>
      <c r="E152" s="56">
        <f t="shared" si="8"/>
        <v>0</v>
      </c>
      <c r="F152" s="12" t="str">
        <f>Data!F151</f>
        <v>Telematics device fault: Check device installation as the accelerometer was disabled due to excessive data</v>
      </c>
      <c r="G152" s="14" t="str">
        <f>Data!A151&amp;" "&amp;Data!F151</f>
        <v>Demo - 40 Telematics device fault: Check device installation as the accelerometer was disabled due to excessive data</v>
      </c>
      <c r="H152" s="56">
        <f>IF(COUNTIF($G$10:G152,G152)&gt;1,0,1)</f>
        <v>0</v>
      </c>
      <c r="I152" s="12" t="str">
        <f>IF(L152=FALSE,Data!J151," ")</f>
        <v xml:space="preserve"> </v>
      </c>
      <c r="J152" s="15" t="b">
        <f t="shared" si="9"/>
        <v>0</v>
      </c>
      <c r="K152" s="12" t="str">
        <f>Data!H151</f>
        <v>Telematics Device</v>
      </c>
      <c r="L152" s="15" t="b">
        <f t="shared" si="10"/>
        <v>1</v>
      </c>
      <c r="M152" s="14" t="str">
        <f>Data!I151</f>
        <v>Telematics device</v>
      </c>
      <c r="N152" s="15" t="str">
        <f>Data!G151</f>
        <v>265</v>
      </c>
      <c r="O152" s="15" t="b">
        <f t="shared" si="11"/>
        <v>1</v>
      </c>
      <c r="P152" s="12" t="str">
        <f>IF(Data!K151=FALSE(),"", Data!K151)</f>
        <v/>
      </c>
      <c r="Q152" s="12" t="str">
        <f>IF(Data!L151=FALSE(),"", Data!L151)</f>
        <v/>
      </c>
      <c r="R152" s="12" t="str">
        <f>IF(Data!M151=FALSE(),"", Data!M151)</f>
        <v/>
      </c>
      <c r="S152" s="12" t="str">
        <f>IF(Data!N151=FALSE(),"", Data!N151)</f>
        <v/>
      </c>
    </row>
    <row r="153" spans="1:19" ht="16.5">
      <c r="A153" s="12" t="str">
        <f>Data!A152</f>
        <v>Demo - 40</v>
      </c>
      <c r="B153" s="12" t="str">
        <f>Data!B152</f>
        <v>Vehicle, Company Group</v>
      </c>
      <c r="C153" s="12" t="str">
        <f>Data!D152</f>
        <v>b28</v>
      </c>
      <c r="D153" s="13">
        <f>Data!E152</f>
        <v>46060.093802083436</v>
      </c>
      <c r="E153" s="56">
        <f t="shared" si="8"/>
        <v>0</v>
      </c>
      <c r="F153" s="12" t="str">
        <f>Data!F152</f>
        <v>Telematics device fault: Check device installation as the accelerometer was disabled due to excessive data</v>
      </c>
      <c r="G153" s="14" t="str">
        <f>Data!A152&amp;" "&amp;Data!F152</f>
        <v>Demo - 40 Telematics device fault: Check device installation as the accelerometer was disabled due to excessive data</v>
      </c>
      <c r="H153" s="56">
        <f>IF(COUNTIF($G$10:G153,G153)&gt;1,0,1)</f>
        <v>0</v>
      </c>
      <c r="I153" s="12" t="str">
        <f>IF(L153=FALSE,Data!J152," ")</f>
        <v xml:space="preserve"> </v>
      </c>
      <c r="J153" s="15" t="b">
        <f t="shared" si="9"/>
        <v>0</v>
      </c>
      <c r="K153" s="12" t="str">
        <f>Data!H152</f>
        <v>Telematics Device</v>
      </c>
      <c r="L153" s="15" t="b">
        <f t="shared" si="10"/>
        <v>1</v>
      </c>
      <c r="M153" s="14" t="str">
        <f>Data!I152</f>
        <v>Telematics device</v>
      </c>
      <c r="N153" s="15" t="str">
        <f>Data!G152</f>
        <v>265</v>
      </c>
      <c r="O153" s="15" t="b">
        <f t="shared" si="11"/>
        <v>1</v>
      </c>
      <c r="P153" s="12" t="str">
        <f>IF(Data!K152=FALSE(),"", Data!K152)</f>
        <v/>
      </c>
      <c r="Q153" s="12" t="str">
        <f>IF(Data!L152=FALSE(),"", Data!L152)</f>
        <v/>
      </c>
      <c r="R153" s="12" t="str">
        <f>IF(Data!M152=FALSE(),"", Data!M152)</f>
        <v/>
      </c>
      <c r="S153" s="12" t="str">
        <f>IF(Data!N152=FALSE(),"", Data!N152)</f>
        <v/>
      </c>
    </row>
    <row r="154" spans="1:19" ht="16.5">
      <c r="A154" s="12" t="str">
        <f>Data!A153</f>
        <v>Demo - 40</v>
      </c>
      <c r="B154" s="12" t="str">
        <f>Data!B153</f>
        <v>Vehicle, Company Group</v>
      </c>
      <c r="C154" s="12" t="str">
        <f>Data!D153</f>
        <v>b28</v>
      </c>
      <c r="D154" s="13">
        <f>Data!E153</f>
        <v>46060.124924768621</v>
      </c>
      <c r="E154" s="56">
        <f t="shared" si="8"/>
        <v>0</v>
      </c>
      <c r="F154" s="12" t="str">
        <f>Data!F153</f>
        <v>Telematics device fault: Check device installation as the accelerometer was disabled due to excessive data</v>
      </c>
      <c r="G154" s="14" t="str">
        <f>Data!A153&amp;" "&amp;Data!F153</f>
        <v>Demo - 40 Telematics device fault: Check device installation as the accelerometer was disabled due to excessive data</v>
      </c>
      <c r="H154" s="56">
        <f>IF(COUNTIF($G$10:G154,G154)&gt;1,0,1)</f>
        <v>0</v>
      </c>
      <c r="I154" s="12" t="str">
        <f>IF(L154=FALSE,Data!J153," ")</f>
        <v xml:space="preserve"> </v>
      </c>
      <c r="J154" s="15" t="b">
        <f t="shared" si="9"/>
        <v>0</v>
      </c>
      <c r="K154" s="12" t="str">
        <f>Data!H153</f>
        <v>Telematics Device</v>
      </c>
      <c r="L154" s="15" t="b">
        <f t="shared" si="10"/>
        <v>1</v>
      </c>
      <c r="M154" s="14" t="str">
        <f>Data!I153</f>
        <v>Telematics device</v>
      </c>
      <c r="N154" s="15" t="str">
        <f>Data!G153</f>
        <v>265</v>
      </c>
      <c r="O154" s="15" t="b">
        <f t="shared" si="11"/>
        <v>1</v>
      </c>
      <c r="P154" s="12" t="str">
        <f>IF(Data!K153=FALSE(),"", Data!K153)</f>
        <v/>
      </c>
      <c r="Q154" s="12" t="str">
        <f>IF(Data!L153=FALSE(),"", Data!L153)</f>
        <v/>
      </c>
      <c r="R154" s="12" t="str">
        <f>IF(Data!M153=FALSE(),"", Data!M153)</f>
        <v/>
      </c>
      <c r="S154" s="12" t="str">
        <f>IF(Data!N153=FALSE(),"", Data!N153)</f>
        <v/>
      </c>
    </row>
    <row r="155" spans="1:19" ht="16.5">
      <c r="A155" s="12" t="str">
        <f>Data!A154</f>
        <v>Demo - 40</v>
      </c>
      <c r="B155" s="12" t="str">
        <f>Data!B154</f>
        <v>Vehicle, Company Group</v>
      </c>
      <c r="C155" s="12" t="str">
        <f>Data!D154</f>
        <v>b28</v>
      </c>
      <c r="D155" s="13">
        <f>Data!E154</f>
        <v>46060.151498842693</v>
      </c>
      <c r="E155" s="56">
        <f t="shared" si="8"/>
        <v>0</v>
      </c>
      <c r="F155" s="12" t="str">
        <f>Data!F154</f>
        <v>Telematics device fault: Check device installation as the accelerometer was disabled due to excessive data</v>
      </c>
      <c r="G155" s="14" t="str">
        <f>Data!A154&amp;" "&amp;Data!F154</f>
        <v>Demo - 40 Telematics device fault: Check device installation as the accelerometer was disabled due to excessive data</v>
      </c>
      <c r="H155" s="56">
        <f>IF(COUNTIF($G$10:G155,G155)&gt;1,0,1)</f>
        <v>0</v>
      </c>
      <c r="I155" s="12" t="str">
        <f>IF(L155=FALSE,Data!J154," ")</f>
        <v xml:space="preserve"> </v>
      </c>
      <c r="J155" s="15" t="b">
        <f t="shared" si="9"/>
        <v>0</v>
      </c>
      <c r="K155" s="12" t="str">
        <f>Data!H154</f>
        <v>Telematics Device</v>
      </c>
      <c r="L155" s="15" t="b">
        <f t="shared" si="10"/>
        <v>1</v>
      </c>
      <c r="M155" s="14" t="str">
        <f>Data!I154</f>
        <v>Telematics device</v>
      </c>
      <c r="N155" s="15" t="str">
        <f>Data!G154</f>
        <v>265</v>
      </c>
      <c r="O155" s="15" t="b">
        <f t="shared" si="11"/>
        <v>1</v>
      </c>
      <c r="P155" s="12" t="str">
        <f>IF(Data!K154=FALSE(),"", Data!K154)</f>
        <v/>
      </c>
      <c r="Q155" s="12" t="str">
        <f>IF(Data!L154=FALSE(),"", Data!L154)</f>
        <v/>
      </c>
      <c r="R155" s="12" t="str">
        <f>IF(Data!M154=FALSE(),"", Data!M154)</f>
        <v/>
      </c>
      <c r="S155" s="12" t="str">
        <f>IF(Data!N154=FALSE(),"", Data!N154)</f>
        <v/>
      </c>
    </row>
    <row r="156" spans="1:19" ht="16.5">
      <c r="A156" s="12" t="str">
        <f>Data!A155</f>
        <v>Demo - 40</v>
      </c>
      <c r="B156" s="12" t="str">
        <f>Data!B155</f>
        <v>Vehicle, Company Group</v>
      </c>
      <c r="C156" s="12" t="str">
        <f>Data!D155</f>
        <v>b28</v>
      </c>
      <c r="D156" s="13">
        <f>Data!E155</f>
        <v>46060.184855324173</v>
      </c>
      <c r="E156" s="56">
        <f t="shared" si="8"/>
        <v>0</v>
      </c>
      <c r="F156" s="12" t="str">
        <f>Data!F155</f>
        <v>Telematics device fault: Check device installation as the accelerometer was disabled due to excessive data</v>
      </c>
      <c r="G156" s="14" t="str">
        <f>Data!A155&amp;" "&amp;Data!F155</f>
        <v>Demo - 40 Telematics device fault: Check device installation as the accelerometer was disabled due to excessive data</v>
      </c>
      <c r="H156" s="56">
        <f>IF(COUNTIF($G$10:G156,G156)&gt;1,0,1)</f>
        <v>0</v>
      </c>
      <c r="I156" s="12" t="str">
        <f>IF(L156=FALSE,Data!J155," ")</f>
        <v xml:space="preserve"> </v>
      </c>
      <c r="J156" s="15" t="b">
        <f t="shared" si="9"/>
        <v>0</v>
      </c>
      <c r="K156" s="12" t="str">
        <f>Data!H155</f>
        <v>Telematics Device</v>
      </c>
      <c r="L156" s="15" t="b">
        <f t="shared" si="10"/>
        <v>1</v>
      </c>
      <c r="M156" s="14" t="str">
        <f>Data!I155</f>
        <v>Telematics device</v>
      </c>
      <c r="N156" s="15" t="str">
        <f>Data!G155</f>
        <v>265</v>
      </c>
      <c r="O156" s="15" t="b">
        <f t="shared" si="11"/>
        <v>1</v>
      </c>
      <c r="P156" s="12" t="str">
        <f>IF(Data!K155=FALSE(),"", Data!K155)</f>
        <v/>
      </c>
      <c r="Q156" s="12" t="str">
        <f>IF(Data!L155=FALSE(),"", Data!L155)</f>
        <v/>
      </c>
      <c r="R156" s="12" t="str">
        <f>IF(Data!M155=FALSE(),"", Data!M155)</f>
        <v/>
      </c>
      <c r="S156" s="12" t="str">
        <f>IF(Data!N155=FALSE(),"", Data!N155)</f>
        <v/>
      </c>
    </row>
    <row r="157" spans="1:19" ht="16.5">
      <c r="A157" s="12" t="str">
        <f>Data!A156</f>
        <v>Demo - 40</v>
      </c>
      <c r="B157" s="12" t="str">
        <f>Data!B156</f>
        <v>Vehicle, Company Group</v>
      </c>
      <c r="C157" s="12" t="str">
        <f>Data!D156</f>
        <v>b28</v>
      </c>
      <c r="D157" s="13">
        <f>Data!E156</f>
        <v>46060.20892939825</v>
      </c>
      <c r="E157" s="56">
        <f t="shared" si="8"/>
        <v>0</v>
      </c>
      <c r="F157" s="12" t="str">
        <f>Data!F156</f>
        <v>Telematics device fault: Check device installation as the accelerometer was disabled due to excessive data</v>
      </c>
      <c r="G157" s="14" t="str">
        <f>Data!A156&amp;" "&amp;Data!F156</f>
        <v>Demo - 40 Telematics device fault: Check device installation as the accelerometer was disabled due to excessive data</v>
      </c>
      <c r="H157" s="56">
        <f>IF(COUNTIF($G$10:G157,G157)&gt;1,0,1)</f>
        <v>0</v>
      </c>
      <c r="I157" s="12" t="str">
        <f>IF(L157=FALSE,Data!J156," ")</f>
        <v xml:space="preserve"> </v>
      </c>
      <c r="J157" s="15" t="b">
        <f t="shared" si="9"/>
        <v>0</v>
      </c>
      <c r="K157" s="12" t="str">
        <f>Data!H156</f>
        <v>Telematics Device</v>
      </c>
      <c r="L157" s="15" t="b">
        <f t="shared" si="10"/>
        <v>1</v>
      </c>
      <c r="M157" s="14" t="str">
        <f>Data!I156</f>
        <v>Telematics device</v>
      </c>
      <c r="N157" s="15" t="str">
        <f>Data!G156</f>
        <v>265</v>
      </c>
      <c r="O157" s="15" t="b">
        <f t="shared" si="11"/>
        <v>1</v>
      </c>
      <c r="P157" s="12" t="str">
        <f>IF(Data!K156=FALSE(),"", Data!K156)</f>
        <v/>
      </c>
      <c r="Q157" s="12" t="str">
        <f>IF(Data!L156=FALSE(),"", Data!L156)</f>
        <v/>
      </c>
      <c r="R157" s="12" t="str">
        <f>IF(Data!M156=FALSE(),"", Data!M156)</f>
        <v/>
      </c>
      <c r="S157" s="12" t="str">
        <f>IF(Data!N156=FALSE(),"", Data!N156)</f>
        <v/>
      </c>
    </row>
    <row r="158" spans="1:19" ht="16.5">
      <c r="A158" s="12" t="str">
        <f>Data!A157</f>
        <v>Demo - 40</v>
      </c>
      <c r="B158" s="12" t="str">
        <f>Data!B157</f>
        <v>Vehicle, Company Group</v>
      </c>
      <c r="C158" s="12" t="str">
        <f>Data!D157</f>
        <v>b28</v>
      </c>
      <c r="D158" s="13">
        <f>Data!E157</f>
        <v>46060.215225694548</v>
      </c>
      <c r="E158" s="56">
        <f t="shared" si="8"/>
        <v>0</v>
      </c>
      <c r="F158" s="12" t="str">
        <f>Data!F157</f>
        <v>Telematics device fault: Check device installation as the accelerometer was disabled due to excessive data</v>
      </c>
      <c r="G158" s="14" t="str">
        <f>Data!A157&amp;" "&amp;Data!F157</f>
        <v>Demo - 40 Telematics device fault: Check device installation as the accelerometer was disabled due to excessive data</v>
      </c>
      <c r="H158" s="56">
        <f>IF(COUNTIF($G$10:G158,G158)&gt;1,0,1)</f>
        <v>0</v>
      </c>
      <c r="I158" s="12" t="str">
        <f>IF(L158=FALSE,Data!J157," ")</f>
        <v xml:space="preserve"> </v>
      </c>
      <c r="J158" s="15" t="b">
        <f t="shared" si="9"/>
        <v>0</v>
      </c>
      <c r="K158" s="12" t="str">
        <f>Data!H157</f>
        <v>Telematics Device</v>
      </c>
      <c r="L158" s="15" t="b">
        <f t="shared" si="10"/>
        <v>1</v>
      </c>
      <c r="M158" s="14" t="str">
        <f>Data!I157</f>
        <v>Telematics device</v>
      </c>
      <c r="N158" s="15" t="str">
        <f>Data!G157</f>
        <v>265</v>
      </c>
      <c r="O158" s="15" t="b">
        <f t="shared" si="11"/>
        <v>1</v>
      </c>
      <c r="P158" s="12" t="str">
        <f>IF(Data!K157=FALSE(),"", Data!K157)</f>
        <v/>
      </c>
      <c r="Q158" s="12" t="str">
        <f>IF(Data!L157=FALSE(),"", Data!L157)</f>
        <v/>
      </c>
      <c r="R158" s="12" t="str">
        <f>IF(Data!M157=FALSE(),"", Data!M157)</f>
        <v/>
      </c>
      <c r="S158" s="12" t="str">
        <f>IF(Data!N157=FALSE(),"", Data!N157)</f>
        <v/>
      </c>
    </row>
    <row r="159" spans="1:19" ht="16.5">
      <c r="A159" s="12" t="str">
        <f>Data!A158</f>
        <v>Demo - 40</v>
      </c>
      <c r="B159" s="12" t="str">
        <f>Data!B158</f>
        <v>Vehicle, Company Group</v>
      </c>
      <c r="C159" s="12" t="str">
        <f>Data!D158</f>
        <v>b28</v>
      </c>
      <c r="D159" s="13">
        <f>Data!E158</f>
        <v>46060.239427083434</v>
      </c>
      <c r="E159" s="56">
        <f t="shared" si="8"/>
        <v>0</v>
      </c>
      <c r="F159" s="12" t="str">
        <f>Data!F158</f>
        <v>Telematics device fault: Check device installation as the accelerometer was disabled due to excessive data</v>
      </c>
      <c r="G159" s="14" t="str">
        <f>Data!A158&amp;" "&amp;Data!F158</f>
        <v>Demo - 40 Telematics device fault: Check device installation as the accelerometer was disabled due to excessive data</v>
      </c>
      <c r="H159" s="56">
        <f>IF(COUNTIF($G$10:G159,G159)&gt;1,0,1)</f>
        <v>0</v>
      </c>
      <c r="I159" s="12" t="str">
        <f>IF(L159=FALSE,Data!J158," ")</f>
        <v xml:space="preserve"> </v>
      </c>
      <c r="J159" s="15" t="b">
        <f t="shared" si="9"/>
        <v>0</v>
      </c>
      <c r="K159" s="12" t="str">
        <f>Data!H158</f>
        <v>Telematics Device</v>
      </c>
      <c r="L159" s="15" t="b">
        <f t="shared" si="10"/>
        <v>1</v>
      </c>
      <c r="M159" s="14" t="str">
        <f>Data!I158</f>
        <v>Telematics device</v>
      </c>
      <c r="N159" s="15" t="str">
        <f>Data!G158</f>
        <v>265</v>
      </c>
      <c r="O159" s="15" t="b">
        <f t="shared" si="11"/>
        <v>1</v>
      </c>
      <c r="P159" s="12" t="str">
        <f>IF(Data!K158=FALSE(),"", Data!K158)</f>
        <v/>
      </c>
      <c r="Q159" s="12" t="str">
        <f>IF(Data!L158=FALSE(),"", Data!L158)</f>
        <v/>
      </c>
      <c r="R159" s="12" t="str">
        <f>IF(Data!M158=FALSE(),"", Data!M158)</f>
        <v/>
      </c>
      <c r="S159" s="12" t="str">
        <f>IF(Data!N158=FALSE(),"", Data!N158)</f>
        <v/>
      </c>
    </row>
    <row r="160" spans="1:19" ht="16.5">
      <c r="A160" s="12" t="str">
        <f>Data!A159</f>
        <v>Demo - 40</v>
      </c>
      <c r="B160" s="12" t="str">
        <f>Data!B159</f>
        <v>Vehicle, Company Group</v>
      </c>
      <c r="C160" s="12" t="str">
        <f>Data!D159</f>
        <v>b28</v>
      </c>
      <c r="D160" s="13">
        <f>Data!E159</f>
        <v>46061.171047453805</v>
      </c>
      <c r="E160" s="56">
        <f t="shared" si="8"/>
        <v>0</v>
      </c>
      <c r="F160" s="12" t="str">
        <f>Data!F159</f>
        <v>Telematics device fault: Check device installation as the accelerometer was disabled due to excessive data</v>
      </c>
      <c r="G160" s="14" t="str">
        <f>Data!A159&amp;" "&amp;Data!F159</f>
        <v>Demo - 40 Telematics device fault: Check device installation as the accelerometer was disabled due to excessive data</v>
      </c>
      <c r="H160" s="56">
        <f>IF(COUNTIF($G$10:G160,G160)&gt;1,0,1)</f>
        <v>0</v>
      </c>
      <c r="I160" s="12" t="str">
        <f>IF(L160=FALSE,Data!J159," ")</f>
        <v xml:space="preserve"> </v>
      </c>
      <c r="J160" s="15" t="b">
        <f t="shared" si="9"/>
        <v>0</v>
      </c>
      <c r="K160" s="12" t="str">
        <f>Data!H159</f>
        <v>Telematics Device</v>
      </c>
      <c r="L160" s="15" t="b">
        <f t="shared" si="10"/>
        <v>1</v>
      </c>
      <c r="M160" s="14" t="str">
        <f>Data!I159</f>
        <v>Telematics device</v>
      </c>
      <c r="N160" s="15" t="str">
        <f>Data!G159</f>
        <v>265</v>
      </c>
      <c r="O160" s="15" t="b">
        <f t="shared" si="11"/>
        <v>1</v>
      </c>
      <c r="P160" s="12" t="str">
        <f>IF(Data!K159=FALSE(),"", Data!K159)</f>
        <v/>
      </c>
      <c r="Q160" s="12" t="str">
        <f>IF(Data!L159=FALSE(),"", Data!L159)</f>
        <v/>
      </c>
      <c r="R160" s="12" t="str">
        <f>IF(Data!M159=FALSE(),"", Data!M159)</f>
        <v/>
      </c>
      <c r="S160" s="12" t="str">
        <f>IF(Data!N159=FALSE(),"", Data!N159)</f>
        <v/>
      </c>
    </row>
    <row r="161" spans="1:19" ht="16.5">
      <c r="A161" s="12" t="str">
        <f>Data!A160</f>
        <v>Demo - 40</v>
      </c>
      <c r="B161" s="12" t="str">
        <f>Data!B160</f>
        <v>Vehicle, Company Group</v>
      </c>
      <c r="C161" s="12" t="str">
        <f>Data!D160</f>
        <v>b28</v>
      </c>
      <c r="D161" s="13">
        <f>Data!E160</f>
        <v>46061.21877893529</v>
      </c>
      <c r="E161" s="56">
        <f t="shared" si="8"/>
        <v>0</v>
      </c>
      <c r="F161" s="12" t="str">
        <f>Data!F160</f>
        <v>Telematics device fault: Check device installation as the accelerometer was disabled due to excessive data</v>
      </c>
      <c r="G161" s="14" t="str">
        <f>Data!A160&amp;" "&amp;Data!F160</f>
        <v>Demo - 40 Telematics device fault: Check device installation as the accelerometer was disabled due to excessive data</v>
      </c>
      <c r="H161" s="56">
        <f>IF(COUNTIF($G$10:G161,G161)&gt;1,0,1)</f>
        <v>0</v>
      </c>
      <c r="I161" s="12" t="str">
        <f>IF(L161=FALSE,Data!J160," ")</f>
        <v xml:space="preserve"> </v>
      </c>
      <c r="J161" s="15" t="b">
        <f t="shared" si="9"/>
        <v>0</v>
      </c>
      <c r="K161" s="12" t="str">
        <f>Data!H160</f>
        <v>Telematics Device</v>
      </c>
      <c r="L161" s="15" t="b">
        <f t="shared" si="10"/>
        <v>1</v>
      </c>
      <c r="M161" s="14" t="str">
        <f>Data!I160</f>
        <v>Telematics device</v>
      </c>
      <c r="N161" s="15" t="str">
        <f>Data!G160</f>
        <v>265</v>
      </c>
      <c r="O161" s="15" t="b">
        <f t="shared" si="11"/>
        <v>1</v>
      </c>
      <c r="P161" s="12" t="str">
        <f>IF(Data!K160=FALSE(),"", Data!K160)</f>
        <v/>
      </c>
      <c r="Q161" s="12" t="str">
        <f>IF(Data!L160=FALSE(),"", Data!L160)</f>
        <v/>
      </c>
      <c r="R161" s="12" t="str">
        <f>IF(Data!M160=FALSE(),"", Data!M160)</f>
        <v/>
      </c>
      <c r="S161" s="12" t="str">
        <f>IF(Data!N160=FALSE(),"", Data!N160)</f>
        <v/>
      </c>
    </row>
    <row r="162" spans="1:19" ht="16.5">
      <c r="A162" s="12" t="str">
        <f>Data!A161</f>
        <v>Demo - 40</v>
      </c>
      <c r="B162" s="12" t="str">
        <f>Data!B161</f>
        <v>Vehicle, Company Group</v>
      </c>
      <c r="C162" s="12" t="str">
        <f>Data!D161</f>
        <v>b28</v>
      </c>
      <c r="D162" s="13">
        <f>Data!E161</f>
        <v>46063.999068287136</v>
      </c>
      <c r="E162" s="56">
        <f t="shared" si="8"/>
        <v>0</v>
      </c>
      <c r="F162" s="12" t="str">
        <f>Data!F161</f>
        <v>Telematics device fault: Check device installation as the accelerometer was disabled due to excessive data</v>
      </c>
      <c r="G162" s="14" t="str">
        <f>Data!A161&amp;" "&amp;Data!F161</f>
        <v>Demo - 40 Telematics device fault: Check device installation as the accelerometer was disabled due to excessive data</v>
      </c>
      <c r="H162" s="56">
        <f>IF(COUNTIF($G$10:G162,G162)&gt;1,0,1)</f>
        <v>0</v>
      </c>
      <c r="I162" s="12" t="str">
        <f>IF(L162=FALSE,Data!J161," ")</f>
        <v xml:space="preserve"> </v>
      </c>
      <c r="J162" s="15" t="b">
        <f t="shared" si="9"/>
        <v>0</v>
      </c>
      <c r="K162" s="12" t="str">
        <f>Data!H161</f>
        <v>Telematics Device</v>
      </c>
      <c r="L162" s="15" t="b">
        <f t="shared" si="10"/>
        <v>1</v>
      </c>
      <c r="M162" s="14" t="str">
        <f>Data!I161</f>
        <v>Telematics device</v>
      </c>
      <c r="N162" s="15" t="str">
        <f>Data!G161</f>
        <v>265</v>
      </c>
      <c r="O162" s="15" t="b">
        <f t="shared" si="11"/>
        <v>1</v>
      </c>
      <c r="P162" s="12" t="str">
        <f>IF(Data!K161=FALSE(),"", Data!K161)</f>
        <v/>
      </c>
      <c r="Q162" s="12" t="str">
        <f>IF(Data!L161=FALSE(),"", Data!L161)</f>
        <v/>
      </c>
      <c r="R162" s="12" t="str">
        <f>IF(Data!M161=FALSE(),"", Data!M161)</f>
        <v/>
      </c>
      <c r="S162" s="12" t="str">
        <f>IF(Data!N161=FALSE(),"", Data!N161)</f>
        <v/>
      </c>
    </row>
    <row r="163" spans="1:19" ht="16.5">
      <c r="A163" s="12" t="str">
        <f>Data!A162</f>
        <v>Demo - 40</v>
      </c>
      <c r="B163" s="12" t="str">
        <f>Data!B162</f>
        <v>Vehicle, Company Group</v>
      </c>
      <c r="C163" s="12" t="str">
        <f>Data!D162</f>
        <v>b28</v>
      </c>
      <c r="D163" s="13">
        <f>Data!E162</f>
        <v>46064.041788194547</v>
      </c>
      <c r="E163" s="56">
        <f t="shared" si="8"/>
        <v>0</v>
      </c>
      <c r="F163" s="12" t="str">
        <f>Data!F162</f>
        <v>Telematics device fault: Check device installation as the accelerometer was disabled due to excessive data</v>
      </c>
      <c r="G163" s="14" t="str">
        <f>Data!A162&amp;" "&amp;Data!F162</f>
        <v>Demo - 40 Telematics device fault: Check device installation as the accelerometer was disabled due to excessive data</v>
      </c>
      <c r="H163" s="56">
        <f>IF(COUNTIF($G$10:G163,G163)&gt;1,0,1)</f>
        <v>0</v>
      </c>
      <c r="I163" s="12" t="str">
        <f>IF(L163=FALSE,Data!J162," ")</f>
        <v xml:space="preserve"> </v>
      </c>
      <c r="J163" s="15" t="b">
        <f t="shared" si="9"/>
        <v>0</v>
      </c>
      <c r="K163" s="12" t="str">
        <f>Data!H162</f>
        <v>Telematics Device</v>
      </c>
      <c r="L163" s="15" t="b">
        <f t="shared" si="10"/>
        <v>1</v>
      </c>
      <c r="M163" s="14" t="str">
        <f>Data!I162</f>
        <v>Telematics device</v>
      </c>
      <c r="N163" s="15" t="str">
        <f>Data!G162</f>
        <v>265</v>
      </c>
      <c r="O163" s="15" t="b">
        <f t="shared" si="11"/>
        <v>1</v>
      </c>
      <c r="P163" s="12" t="str">
        <f>IF(Data!K162=FALSE(),"", Data!K162)</f>
        <v/>
      </c>
      <c r="Q163" s="12" t="str">
        <f>IF(Data!L162=FALSE(),"", Data!L162)</f>
        <v/>
      </c>
      <c r="R163" s="12" t="str">
        <f>IF(Data!M162=FALSE(),"", Data!M162)</f>
        <v/>
      </c>
      <c r="S163" s="12" t="str">
        <f>IF(Data!N162=FALSE(),"", Data!N162)</f>
        <v/>
      </c>
    </row>
    <row r="164" spans="1:19" ht="16.5">
      <c r="A164" s="12" t="str">
        <f>Data!A163</f>
        <v>Demo - 40</v>
      </c>
      <c r="B164" s="12" t="str">
        <f>Data!B163</f>
        <v>Vehicle, Company Group</v>
      </c>
      <c r="C164" s="12" t="str">
        <f>Data!D163</f>
        <v>b28</v>
      </c>
      <c r="D164" s="13">
        <f>Data!E163</f>
        <v>46064.079716435284</v>
      </c>
      <c r="E164" s="56">
        <f t="shared" si="8"/>
        <v>0</v>
      </c>
      <c r="F164" s="12" t="str">
        <f>Data!F163</f>
        <v>Telematics device fault: Check device installation as the accelerometer was disabled due to excessive data</v>
      </c>
      <c r="G164" s="14" t="str">
        <f>Data!A163&amp;" "&amp;Data!F163</f>
        <v>Demo - 40 Telematics device fault: Check device installation as the accelerometer was disabled due to excessive data</v>
      </c>
      <c r="H164" s="56">
        <f>IF(COUNTIF($G$10:G164,G164)&gt;1,0,1)</f>
        <v>0</v>
      </c>
      <c r="I164" s="12" t="str">
        <f>IF(L164=FALSE,Data!J163," ")</f>
        <v xml:space="preserve"> </v>
      </c>
      <c r="J164" s="15" t="b">
        <f t="shared" si="9"/>
        <v>0</v>
      </c>
      <c r="K164" s="12" t="str">
        <f>Data!H163</f>
        <v>Telematics Device</v>
      </c>
      <c r="L164" s="15" t="b">
        <f t="shared" si="10"/>
        <v>1</v>
      </c>
      <c r="M164" s="14" t="str">
        <f>Data!I163</f>
        <v>Telematics device</v>
      </c>
      <c r="N164" s="15" t="str">
        <f>Data!G163</f>
        <v>265</v>
      </c>
      <c r="O164" s="15" t="b">
        <f t="shared" si="11"/>
        <v>1</v>
      </c>
      <c r="P164" s="12" t="str">
        <f>IF(Data!K163=FALSE(),"", Data!K163)</f>
        <v/>
      </c>
      <c r="Q164" s="12" t="str">
        <f>IF(Data!L163=FALSE(),"", Data!L163)</f>
        <v/>
      </c>
      <c r="R164" s="12" t="str">
        <f>IF(Data!M163=FALSE(),"", Data!M163)</f>
        <v/>
      </c>
      <c r="S164" s="12" t="str">
        <f>IF(Data!N163=FALSE(),"", Data!N163)</f>
        <v/>
      </c>
    </row>
    <row r="165" spans="1:19" ht="16.5">
      <c r="A165" s="12" t="str">
        <f>Data!A164</f>
        <v>Demo - 40</v>
      </c>
      <c r="B165" s="12" t="str">
        <f>Data!B164</f>
        <v>Vehicle, Company Group</v>
      </c>
      <c r="C165" s="12" t="str">
        <f>Data!D164</f>
        <v>b28</v>
      </c>
      <c r="D165" s="13">
        <f>Data!E164</f>
        <v>46064.088373842693</v>
      </c>
      <c r="E165" s="56">
        <f t="shared" si="8"/>
        <v>0</v>
      </c>
      <c r="F165" s="12" t="str">
        <f>Data!F164</f>
        <v>Telematics device fault: Check device installation as the accelerometer was disabled due to excessive data</v>
      </c>
      <c r="G165" s="14" t="str">
        <f>Data!A164&amp;" "&amp;Data!F164</f>
        <v>Demo - 40 Telematics device fault: Check device installation as the accelerometer was disabled due to excessive data</v>
      </c>
      <c r="H165" s="56">
        <f>IF(COUNTIF($G$10:G165,G165)&gt;1,0,1)</f>
        <v>0</v>
      </c>
      <c r="I165" s="12" t="str">
        <f>IF(L165=FALSE,Data!J164," ")</f>
        <v xml:space="preserve"> </v>
      </c>
      <c r="J165" s="15" t="b">
        <f t="shared" si="9"/>
        <v>0</v>
      </c>
      <c r="K165" s="12" t="str">
        <f>Data!H164</f>
        <v>Telematics Device</v>
      </c>
      <c r="L165" s="15" t="b">
        <f t="shared" si="10"/>
        <v>1</v>
      </c>
      <c r="M165" s="14" t="str">
        <f>Data!I164</f>
        <v>Telematics device</v>
      </c>
      <c r="N165" s="15" t="str">
        <f>Data!G164</f>
        <v>265</v>
      </c>
      <c r="O165" s="15" t="b">
        <f t="shared" si="11"/>
        <v>1</v>
      </c>
      <c r="P165" s="12" t="str">
        <f>IF(Data!K164=FALSE(),"", Data!K164)</f>
        <v/>
      </c>
      <c r="Q165" s="12" t="str">
        <f>IF(Data!L164=FALSE(),"", Data!L164)</f>
        <v/>
      </c>
      <c r="R165" s="12" t="str">
        <f>IF(Data!M164=FALSE(),"", Data!M164)</f>
        <v/>
      </c>
      <c r="S165" s="12" t="str">
        <f>IF(Data!N164=FALSE(),"", Data!N164)</f>
        <v/>
      </c>
    </row>
    <row r="166" spans="1:19" ht="16.5">
      <c r="A166" s="12" t="str">
        <f>Data!A165</f>
        <v>Demo - 40</v>
      </c>
      <c r="B166" s="12" t="str">
        <f>Data!B165</f>
        <v>Vehicle, Company Group</v>
      </c>
      <c r="C166" s="12" t="str">
        <f>Data!D165</f>
        <v>b28</v>
      </c>
      <c r="D166" s="13">
        <f>Data!E165</f>
        <v>46064.103443287138</v>
      </c>
      <c r="E166" s="56">
        <f t="shared" si="8"/>
        <v>0</v>
      </c>
      <c r="F166" s="12" t="str">
        <f>Data!F165</f>
        <v>Telematics device fault: Check device installation as the accelerometer was disabled due to excessive data</v>
      </c>
      <c r="G166" s="14" t="str">
        <f>Data!A165&amp;" "&amp;Data!F165</f>
        <v>Demo - 40 Telematics device fault: Check device installation as the accelerometer was disabled due to excessive data</v>
      </c>
      <c r="H166" s="56">
        <f>IF(COUNTIF($G$10:G166,G166)&gt;1,0,1)</f>
        <v>0</v>
      </c>
      <c r="I166" s="12" t="str">
        <f>IF(L166=FALSE,Data!J165," ")</f>
        <v xml:space="preserve"> </v>
      </c>
      <c r="J166" s="15" t="b">
        <f t="shared" si="9"/>
        <v>0</v>
      </c>
      <c r="K166" s="12" t="str">
        <f>Data!H165</f>
        <v>Telematics Device</v>
      </c>
      <c r="L166" s="15" t="b">
        <f t="shared" si="10"/>
        <v>1</v>
      </c>
      <c r="M166" s="14" t="str">
        <f>Data!I165</f>
        <v>Telematics device</v>
      </c>
      <c r="N166" s="15" t="str">
        <f>Data!G165</f>
        <v>265</v>
      </c>
      <c r="O166" s="15" t="b">
        <f t="shared" si="11"/>
        <v>1</v>
      </c>
      <c r="P166" s="12" t="str">
        <f>IF(Data!K165=FALSE(),"", Data!K165)</f>
        <v/>
      </c>
      <c r="Q166" s="12" t="str">
        <f>IF(Data!L165=FALSE(),"", Data!L165)</f>
        <v/>
      </c>
      <c r="R166" s="12" t="str">
        <f>IF(Data!M165=FALSE(),"", Data!M165)</f>
        <v/>
      </c>
      <c r="S166" s="12" t="str">
        <f>IF(Data!N165=FALSE(),"", Data!N165)</f>
        <v/>
      </c>
    </row>
    <row r="167" spans="1:19" ht="16.5">
      <c r="A167" s="12" t="str">
        <f>Data!A166</f>
        <v>Demo - 40</v>
      </c>
      <c r="B167" s="12" t="str">
        <f>Data!B166</f>
        <v>Vehicle, Company Group</v>
      </c>
      <c r="C167" s="12" t="str">
        <f>Data!D166</f>
        <v>b28</v>
      </c>
      <c r="D167" s="13">
        <f>Data!E166</f>
        <v>46064.114531250103</v>
      </c>
      <c r="E167" s="56">
        <f t="shared" si="8"/>
        <v>0</v>
      </c>
      <c r="F167" s="12" t="str">
        <f>Data!F166</f>
        <v>Telematics device fault: Check device installation as the accelerometer was disabled due to excessive data</v>
      </c>
      <c r="G167" s="14" t="str">
        <f>Data!A166&amp;" "&amp;Data!F166</f>
        <v>Demo - 40 Telematics device fault: Check device installation as the accelerometer was disabled due to excessive data</v>
      </c>
      <c r="H167" s="56">
        <f>IF(COUNTIF($G$10:G167,G167)&gt;1,0,1)</f>
        <v>0</v>
      </c>
      <c r="I167" s="12" t="str">
        <f>IF(L167=FALSE,Data!J166," ")</f>
        <v xml:space="preserve"> </v>
      </c>
      <c r="J167" s="15" t="b">
        <f t="shared" si="9"/>
        <v>0</v>
      </c>
      <c r="K167" s="12" t="str">
        <f>Data!H166</f>
        <v>Telematics Device</v>
      </c>
      <c r="L167" s="15" t="b">
        <f t="shared" si="10"/>
        <v>1</v>
      </c>
      <c r="M167" s="14" t="str">
        <f>Data!I166</f>
        <v>Telematics device</v>
      </c>
      <c r="N167" s="15" t="str">
        <f>Data!G166</f>
        <v>265</v>
      </c>
      <c r="O167" s="15" t="b">
        <f t="shared" si="11"/>
        <v>1</v>
      </c>
      <c r="P167" s="12" t="str">
        <f>IF(Data!K166=FALSE(),"", Data!K166)</f>
        <v/>
      </c>
      <c r="Q167" s="12" t="str">
        <f>IF(Data!L166=FALSE(),"", Data!L166)</f>
        <v/>
      </c>
      <c r="R167" s="12" t="str">
        <f>IF(Data!M166=FALSE(),"", Data!M166)</f>
        <v/>
      </c>
      <c r="S167" s="12" t="str">
        <f>IF(Data!N166=FALSE(),"", Data!N166)</f>
        <v/>
      </c>
    </row>
    <row r="168" spans="1:19" ht="16.5">
      <c r="A168" s="12" t="str">
        <f>Data!A167</f>
        <v>Demo - 40</v>
      </c>
      <c r="B168" s="12" t="str">
        <f>Data!B167</f>
        <v>Vehicle, Company Group</v>
      </c>
      <c r="C168" s="12" t="str">
        <f>Data!D167</f>
        <v>b28</v>
      </c>
      <c r="D168" s="13">
        <f>Data!E167</f>
        <v>46064.191614583433</v>
      </c>
      <c r="E168" s="56">
        <f t="shared" si="8"/>
        <v>0</v>
      </c>
      <c r="F168" s="12" t="str">
        <f>Data!F167</f>
        <v>Telematics device fault: Check device installation as the accelerometer was disabled due to excessive data</v>
      </c>
      <c r="G168" s="14" t="str">
        <f>Data!A167&amp;" "&amp;Data!F167</f>
        <v>Demo - 40 Telematics device fault: Check device installation as the accelerometer was disabled due to excessive data</v>
      </c>
      <c r="H168" s="56">
        <f>IF(COUNTIF($G$10:G168,G168)&gt;1,0,1)</f>
        <v>0</v>
      </c>
      <c r="I168" s="12" t="str">
        <f>IF(L168=FALSE,Data!J167," ")</f>
        <v xml:space="preserve"> </v>
      </c>
      <c r="J168" s="15" t="b">
        <f t="shared" si="9"/>
        <v>0</v>
      </c>
      <c r="K168" s="12" t="str">
        <f>Data!H167</f>
        <v>Telematics Device</v>
      </c>
      <c r="L168" s="15" t="b">
        <f t="shared" si="10"/>
        <v>1</v>
      </c>
      <c r="M168" s="14" t="str">
        <f>Data!I167</f>
        <v>Telematics device</v>
      </c>
      <c r="N168" s="15" t="str">
        <f>Data!G167</f>
        <v>265</v>
      </c>
      <c r="O168" s="15" t="b">
        <f t="shared" si="11"/>
        <v>1</v>
      </c>
      <c r="P168" s="12" t="str">
        <f>IF(Data!K167=FALSE(),"", Data!K167)</f>
        <v/>
      </c>
      <c r="Q168" s="12" t="str">
        <f>IF(Data!L167=FALSE(),"", Data!L167)</f>
        <v/>
      </c>
      <c r="R168" s="12" t="str">
        <f>IF(Data!M167=FALSE(),"", Data!M167)</f>
        <v/>
      </c>
      <c r="S168" s="12" t="str">
        <f>IF(Data!N167=FALSE(),"", Data!N167)</f>
        <v/>
      </c>
    </row>
    <row r="169" spans="1:19" ht="16.5">
      <c r="A169" s="12" t="str">
        <f>Data!A168</f>
        <v>Demo - 40</v>
      </c>
      <c r="B169" s="12" t="str">
        <f>Data!B168</f>
        <v>Vehicle, Company Group</v>
      </c>
      <c r="C169" s="12" t="str">
        <f>Data!D168</f>
        <v>b28</v>
      </c>
      <c r="D169" s="13">
        <f>Data!E168</f>
        <v>46064.208142361211</v>
      </c>
      <c r="E169" s="56">
        <f t="shared" si="8"/>
        <v>0</v>
      </c>
      <c r="F169" s="12" t="str">
        <f>Data!F168</f>
        <v>Telematics device fault: Check device installation as the accelerometer was disabled due to excessive data</v>
      </c>
      <c r="G169" s="14" t="str">
        <f>Data!A168&amp;" "&amp;Data!F168</f>
        <v>Demo - 40 Telematics device fault: Check device installation as the accelerometer was disabled due to excessive data</v>
      </c>
      <c r="H169" s="56">
        <f>IF(COUNTIF($G$10:G169,G169)&gt;1,0,1)</f>
        <v>0</v>
      </c>
      <c r="I169" s="12" t="str">
        <f>IF(L169=FALSE,Data!J168," ")</f>
        <v xml:space="preserve"> </v>
      </c>
      <c r="J169" s="15" t="b">
        <f t="shared" si="9"/>
        <v>0</v>
      </c>
      <c r="K169" s="12" t="str">
        <f>Data!H168</f>
        <v>Telematics Device</v>
      </c>
      <c r="L169" s="15" t="b">
        <f t="shared" si="10"/>
        <v>1</v>
      </c>
      <c r="M169" s="14" t="str">
        <f>Data!I168</f>
        <v>Telematics device</v>
      </c>
      <c r="N169" s="15" t="str">
        <f>Data!G168</f>
        <v>265</v>
      </c>
      <c r="O169" s="15" t="b">
        <f t="shared" si="11"/>
        <v>1</v>
      </c>
      <c r="P169" s="12" t="str">
        <f>IF(Data!K168=FALSE(),"", Data!K168)</f>
        <v/>
      </c>
      <c r="Q169" s="12" t="str">
        <f>IF(Data!L168=FALSE(),"", Data!L168)</f>
        <v/>
      </c>
      <c r="R169" s="12" t="str">
        <f>IF(Data!M168=FALSE(),"", Data!M168)</f>
        <v/>
      </c>
      <c r="S169" s="12" t="str">
        <f>IF(Data!N168=FALSE(),"", Data!N168)</f>
        <v/>
      </c>
    </row>
    <row r="170" spans="1:19" ht="16.5">
      <c r="A170" s="12" t="str">
        <f>Data!A169</f>
        <v>Demo - 40</v>
      </c>
      <c r="B170" s="12" t="str">
        <f>Data!B169</f>
        <v>Vehicle, Company Group</v>
      </c>
      <c r="C170" s="12" t="str">
        <f>Data!D169</f>
        <v>b28</v>
      </c>
      <c r="D170" s="13">
        <f>Data!E169</f>
        <v>46065.005353009365</v>
      </c>
      <c r="E170" s="56">
        <f t="shared" si="8"/>
        <v>0</v>
      </c>
      <c r="F170" s="12" t="str">
        <f>Data!F169</f>
        <v>Telematics device fault: Check device installation as the accelerometer was disabled due to excessive data</v>
      </c>
      <c r="G170" s="14" t="str">
        <f>Data!A169&amp;" "&amp;Data!F169</f>
        <v>Demo - 40 Telematics device fault: Check device installation as the accelerometer was disabled due to excessive data</v>
      </c>
      <c r="H170" s="56">
        <f>IF(COUNTIF($G$10:G170,G170)&gt;1,0,1)</f>
        <v>0</v>
      </c>
      <c r="I170" s="12" t="str">
        <f>IF(L170=FALSE,Data!J169," ")</f>
        <v xml:space="preserve"> </v>
      </c>
      <c r="J170" s="15" t="b">
        <f t="shared" si="9"/>
        <v>0</v>
      </c>
      <c r="K170" s="12" t="str">
        <f>Data!H169</f>
        <v>Telematics Device</v>
      </c>
      <c r="L170" s="15" t="b">
        <f t="shared" si="10"/>
        <v>1</v>
      </c>
      <c r="M170" s="14" t="str">
        <f>Data!I169</f>
        <v>Telematics device</v>
      </c>
      <c r="N170" s="15" t="str">
        <f>Data!G169</f>
        <v>265</v>
      </c>
      <c r="O170" s="15" t="b">
        <f t="shared" si="11"/>
        <v>1</v>
      </c>
      <c r="P170" s="12" t="str">
        <f>IF(Data!K169=FALSE(),"", Data!K169)</f>
        <v/>
      </c>
      <c r="Q170" s="12" t="str">
        <f>IF(Data!L169=FALSE(),"", Data!L169)</f>
        <v/>
      </c>
      <c r="R170" s="12" t="str">
        <f>IF(Data!M169=FALSE(),"", Data!M169)</f>
        <v/>
      </c>
      <c r="S170" s="12" t="str">
        <f>IF(Data!N169=FALSE(),"", Data!N169)</f>
        <v/>
      </c>
    </row>
    <row r="171" spans="1:19" ht="16.5">
      <c r="A171" s="12" t="str">
        <f>Data!A170</f>
        <v>Demo - 40</v>
      </c>
      <c r="B171" s="12" t="str">
        <f>Data!B170</f>
        <v>Vehicle, Company Group</v>
      </c>
      <c r="C171" s="12" t="str">
        <f>Data!D170</f>
        <v>b28</v>
      </c>
      <c r="D171" s="13">
        <f>Data!E170</f>
        <v>46065.893836805655</v>
      </c>
      <c r="E171" s="56">
        <f t="shared" si="8"/>
        <v>0</v>
      </c>
      <c r="F171" s="12" t="str">
        <f>Data!F170</f>
        <v>Telematics device fault: Check device installation as the accelerometer was disabled due to excessive data</v>
      </c>
      <c r="G171" s="14" t="str">
        <f>Data!A170&amp;" "&amp;Data!F170</f>
        <v>Demo - 40 Telematics device fault: Check device installation as the accelerometer was disabled due to excessive data</v>
      </c>
      <c r="H171" s="56">
        <f>IF(COUNTIF($G$10:G171,G171)&gt;1,0,1)</f>
        <v>0</v>
      </c>
      <c r="I171" s="12" t="str">
        <f>IF(L171=FALSE,Data!J170," ")</f>
        <v xml:space="preserve"> </v>
      </c>
      <c r="J171" s="15" t="b">
        <f t="shared" si="9"/>
        <v>0</v>
      </c>
      <c r="K171" s="12" t="str">
        <f>Data!H170</f>
        <v>Telematics Device</v>
      </c>
      <c r="L171" s="15" t="b">
        <f t="shared" si="10"/>
        <v>1</v>
      </c>
      <c r="M171" s="14" t="str">
        <f>Data!I170</f>
        <v>Telematics device</v>
      </c>
      <c r="N171" s="15" t="str">
        <f>Data!G170</f>
        <v>265</v>
      </c>
      <c r="O171" s="15" t="b">
        <f t="shared" si="11"/>
        <v>1</v>
      </c>
      <c r="P171" s="12" t="str">
        <f>IF(Data!K170=FALSE(),"", Data!K170)</f>
        <v/>
      </c>
      <c r="Q171" s="12" t="str">
        <f>IF(Data!L170=FALSE(),"", Data!L170)</f>
        <v/>
      </c>
      <c r="R171" s="12" t="str">
        <f>IF(Data!M170=FALSE(),"", Data!M170)</f>
        <v/>
      </c>
      <c r="S171" s="12" t="str">
        <f>IF(Data!N170=FALSE(),"", Data!N170)</f>
        <v/>
      </c>
    </row>
    <row r="172" spans="1:19" ht="16.5">
      <c r="A172" s="12" t="str">
        <f>Data!A171</f>
        <v>Demo - 40</v>
      </c>
      <c r="B172" s="12" t="str">
        <f>Data!B171</f>
        <v>Vehicle, Company Group</v>
      </c>
      <c r="C172" s="12" t="str">
        <f>Data!D171</f>
        <v>b28</v>
      </c>
      <c r="D172" s="13">
        <f>Data!E171</f>
        <v>46065.981093750102</v>
      </c>
      <c r="E172" s="56">
        <f t="shared" si="8"/>
        <v>0</v>
      </c>
      <c r="F172" s="12" t="str">
        <f>Data!F171</f>
        <v>Telematics device fault: Check device installation as the accelerometer was disabled due to excessive data</v>
      </c>
      <c r="G172" s="14" t="str">
        <f>Data!A171&amp;" "&amp;Data!F171</f>
        <v>Demo - 40 Telematics device fault: Check device installation as the accelerometer was disabled due to excessive data</v>
      </c>
      <c r="H172" s="56">
        <f>IF(COUNTIF($G$10:G172,G172)&gt;1,0,1)</f>
        <v>0</v>
      </c>
      <c r="I172" s="12" t="str">
        <f>IF(L172=FALSE,Data!J171," ")</f>
        <v xml:space="preserve"> </v>
      </c>
      <c r="J172" s="15" t="b">
        <f t="shared" si="9"/>
        <v>0</v>
      </c>
      <c r="K172" s="12" t="str">
        <f>Data!H171</f>
        <v>Telematics Device</v>
      </c>
      <c r="L172" s="15" t="b">
        <f t="shared" si="10"/>
        <v>1</v>
      </c>
      <c r="M172" s="14" t="str">
        <f>Data!I171</f>
        <v>Telematics device</v>
      </c>
      <c r="N172" s="15" t="str">
        <f>Data!G171</f>
        <v>265</v>
      </c>
      <c r="O172" s="15" t="b">
        <f t="shared" si="11"/>
        <v>1</v>
      </c>
      <c r="P172" s="12" t="str">
        <f>IF(Data!K171=FALSE(),"", Data!K171)</f>
        <v/>
      </c>
      <c r="Q172" s="12" t="str">
        <f>IF(Data!L171=FALSE(),"", Data!L171)</f>
        <v/>
      </c>
      <c r="R172" s="12" t="str">
        <f>IF(Data!M171=FALSE(),"", Data!M171)</f>
        <v/>
      </c>
      <c r="S172" s="12" t="str">
        <f>IF(Data!N171=FALSE(),"", Data!N171)</f>
        <v/>
      </c>
    </row>
    <row r="173" spans="1:19" ht="16.5">
      <c r="A173" s="12" t="str">
        <f>Data!A172</f>
        <v>Demo - 40</v>
      </c>
      <c r="B173" s="12" t="str">
        <f>Data!B172</f>
        <v>Vehicle, Company Group</v>
      </c>
      <c r="C173" s="12" t="str">
        <f>Data!D172</f>
        <v>b28</v>
      </c>
      <c r="D173" s="13">
        <f>Data!E172</f>
        <v>46066.003929398248</v>
      </c>
      <c r="E173" s="56">
        <f t="shared" si="8"/>
        <v>0</v>
      </c>
      <c r="F173" s="12" t="str">
        <f>Data!F172</f>
        <v>Telematics device fault: Check device installation as the accelerometer was disabled due to excessive data</v>
      </c>
      <c r="G173" s="14" t="str">
        <f>Data!A172&amp;" "&amp;Data!F172</f>
        <v>Demo - 40 Telematics device fault: Check device installation as the accelerometer was disabled due to excessive data</v>
      </c>
      <c r="H173" s="56">
        <f>IF(COUNTIF($G$10:G173,G173)&gt;1,0,1)</f>
        <v>0</v>
      </c>
      <c r="I173" s="12" t="str">
        <f>IF(L173=FALSE,Data!J172," ")</f>
        <v xml:space="preserve"> </v>
      </c>
      <c r="J173" s="15" t="b">
        <f t="shared" si="9"/>
        <v>0</v>
      </c>
      <c r="K173" s="12" t="str">
        <f>Data!H172</f>
        <v>Telematics Device</v>
      </c>
      <c r="L173" s="15" t="b">
        <f t="shared" si="10"/>
        <v>1</v>
      </c>
      <c r="M173" s="14" t="str">
        <f>Data!I172</f>
        <v>Telematics device</v>
      </c>
      <c r="N173" s="15" t="str">
        <f>Data!G172</f>
        <v>265</v>
      </c>
      <c r="O173" s="15" t="b">
        <f t="shared" si="11"/>
        <v>1</v>
      </c>
      <c r="P173" s="12" t="str">
        <f>IF(Data!K172=FALSE(),"", Data!K172)</f>
        <v/>
      </c>
      <c r="Q173" s="12" t="str">
        <f>IF(Data!L172=FALSE(),"", Data!L172)</f>
        <v/>
      </c>
      <c r="R173" s="12" t="str">
        <f>IF(Data!M172=FALSE(),"", Data!M172)</f>
        <v/>
      </c>
      <c r="S173" s="12" t="str">
        <f>IF(Data!N172=FALSE(),"", Data!N172)</f>
        <v/>
      </c>
    </row>
    <row r="174" spans="1:19" ht="16.5">
      <c r="A174" s="12" t="str">
        <f>Data!A173</f>
        <v>Demo - 40</v>
      </c>
      <c r="B174" s="12" t="str">
        <f>Data!B173</f>
        <v>Vehicle, Company Group</v>
      </c>
      <c r="C174" s="12" t="str">
        <f>Data!D173</f>
        <v>b28</v>
      </c>
      <c r="D174" s="13">
        <f>Data!E173</f>
        <v>46066.027991898249</v>
      </c>
      <c r="E174" s="56">
        <f t="shared" si="8"/>
        <v>0</v>
      </c>
      <c r="F174" s="12" t="str">
        <f>Data!F173</f>
        <v>Telematics device fault: Check device installation as the accelerometer was disabled due to excessive data</v>
      </c>
      <c r="G174" s="14" t="str">
        <f>Data!A173&amp;" "&amp;Data!F173</f>
        <v>Demo - 40 Telematics device fault: Check device installation as the accelerometer was disabled due to excessive data</v>
      </c>
      <c r="H174" s="56">
        <f>IF(COUNTIF($G$10:G174,G174)&gt;1,0,1)</f>
        <v>0</v>
      </c>
      <c r="I174" s="12" t="str">
        <f>IF(L174=FALSE,Data!J173," ")</f>
        <v xml:space="preserve"> </v>
      </c>
      <c r="J174" s="15" t="b">
        <f t="shared" si="9"/>
        <v>0</v>
      </c>
      <c r="K174" s="12" t="str">
        <f>Data!H173</f>
        <v>Telematics Device</v>
      </c>
      <c r="L174" s="15" t="b">
        <f t="shared" si="10"/>
        <v>1</v>
      </c>
      <c r="M174" s="14" t="str">
        <f>Data!I173</f>
        <v>Telematics device</v>
      </c>
      <c r="N174" s="15" t="str">
        <f>Data!G173</f>
        <v>265</v>
      </c>
      <c r="O174" s="15" t="b">
        <f t="shared" si="11"/>
        <v>1</v>
      </c>
      <c r="P174" s="12" t="str">
        <f>IF(Data!K173=FALSE(),"", Data!K173)</f>
        <v/>
      </c>
      <c r="Q174" s="12" t="str">
        <f>IF(Data!L173=FALSE(),"", Data!L173)</f>
        <v/>
      </c>
      <c r="R174" s="12" t="str">
        <f>IF(Data!M173=FALSE(),"", Data!M173)</f>
        <v/>
      </c>
      <c r="S174" s="12" t="str">
        <f>IF(Data!N173=FALSE(),"", Data!N173)</f>
        <v/>
      </c>
    </row>
    <row r="175" spans="1:19" ht="16.5">
      <c r="A175" s="12" t="str">
        <f>Data!A174</f>
        <v>Demo - 40</v>
      </c>
      <c r="B175" s="12" t="str">
        <f>Data!B174</f>
        <v>Vehicle, Company Group</v>
      </c>
      <c r="C175" s="12" t="str">
        <f>Data!D174</f>
        <v>b28</v>
      </c>
      <c r="D175" s="13">
        <f>Data!E174</f>
        <v>46066.057251157508</v>
      </c>
      <c r="E175" s="56">
        <f t="shared" si="8"/>
        <v>0</v>
      </c>
      <c r="F175" s="12" t="str">
        <f>Data!F174</f>
        <v>Telematics device fault: Check device installation as the accelerometer was disabled due to excessive data</v>
      </c>
      <c r="G175" s="14" t="str">
        <f>Data!A174&amp;" "&amp;Data!F174</f>
        <v>Demo - 40 Telematics device fault: Check device installation as the accelerometer was disabled due to excessive data</v>
      </c>
      <c r="H175" s="56">
        <f>IF(COUNTIF($G$10:G175,G175)&gt;1,0,1)</f>
        <v>0</v>
      </c>
      <c r="I175" s="12" t="str">
        <f>IF(L175=FALSE,Data!J174," ")</f>
        <v xml:space="preserve"> </v>
      </c>
      <c r="J175" s="15" t="b">
        <f t="shared" si="9"/>
        <v>0</v>
      </c>
      <c r="K175" s="12" t="str">
        <f>Data!H174</f>
        <v>Telematics Device</v>
      </c>
      <c r="L175" s="15" t="b">
        <f t="shared" si="10"/>
        <v>1</v>
      </c>
      <c r="M175" s="14" t="str">
        <f>Data!I174</f>
        <v>Telematics device</v>
      </c>
      <c r="N175" s="15" t="str">
        <f>Data!G174</f>
        <v>265</v>
      </c>
      <c r="O175" s="15" t="b">
        <f t="shared" si="11"/>
        <v>1</v>
      </c>
      <c r="P175" s="12" t="str">
        <f>IF(Data!K174=FALSE(),"", Data!K174)</f>
        <v/>
      </c>
      <c r="Q175" s="12" t="str">
        <f>IF(Data!L174=FALSE(),"", Data!L174)</f>
        <v/>
      </c>
      <c r="R175" s="12" t="str">
        <f>IF(Data!M174=FALSE(),"", Data!M174)</f>
        <v/>
      </c>
      <c r="S175" s="12" t="str">
        <f>IF(Data!N174=FALSE(),"", Data!N174)</f>
        <v/>
      </c>
    </row>
    <row r="176" spans="1:19" ht="16.5">
      <c r="A176" s="12" t="str">
        <f>Data!A175</f>
        <v>Demo - 40</v>
      </c>
      <c r="B176" s="12" t="str">
        <f>Data!B175</f>
        <v>Vehicle, Company Group</v>
      </c>
      <c r="C176" s="12" t="str">
        <f>Data!D175</f>
        <v>b28</v>
      </c>
      <c r="D176" s="13">
        <f>Data!E175</f>
        <v>46066.085711805659</v>
      </c>
      <c r="E176" s="56">
        <f t="shared" si="8"/>
        <v>0</v>
      </c>
      <c r="F176" s="12" t="str">
        <f>Data!F175</f>
        <v>Telematics device fault: Check device installation as the accelerometer was disabled due to excessive data</v>
      </c>
      <c r="G176" s="14" t="str">
        <f>Data!A175&amp;" "&amp;Data!F175</f>
        <v>Demo - 40 Telematics device fault: Check device installation as the accelerometer was disabled due to excessive data</v>
      </c>
      <c r="H176" s="56">
        <f>IF(COUNTIF($G$10:G176,G176)&gt;1,0,1)</f>
        <v>0</v>
      </c>
      <c r="I176" s="12" t="str">
        <f>IF(L176=FALSE,Data!J175," ")</f>
        <v xml:space="preserve"> </v>
      </c>
      <c r="J176" s="15" t="b">
        <f t="shared" si="9"/>
        <v>0</v>
      </c>
      <c r="K176" s="12" t="str">
        <f>Data!H175</f>
        <v>Telematics Device</v>
      </c>
      <c r="L176" s="15" t="b">
        <f t="shared" si="10"/>
        <v>1</v>
      </c>
      <c r="M176" s="14" t="str">
        <f>Data!I175</f>
        <v>Telematics device</v>
      </c>
      <c r="N176" s="15" t="str">
        <f>Data!G175</f>
        <v>265</v>
      </c>
      <c r="O176" s="15" t="b">
        <f t="shared" si="11"/>
        <v>1</v>
      </c>
      <c r="P176" s="12" t="str">
        <f>IF(Data!K175=FALSE(),"", Data!K175)</f>
        <v/>
      </c>
      <c r="Q176" s="12" t="str">
        <f>IF(Data!L175=FALSE(),"", Data!L175)</f>
        <v/>
      </c>
      <c r="R176" s="12" t="str">
        <f>IF(Data!M175=FALSE(),"", Data!M175)</f>
        <v/>
      </c>
      <c r="S176" s="12" t="str">
        <f>IF(Data!N175=FALSE(),"", Data!N175)</f>
        <v/>
      </c>
    </row>
    <row r="177" spans="1:19" ht="16.5">
      <c r="A177" s="12" t="str">
        <f>Data!A176</f>
        <v>Demo - 40</v>
      </c>
      <c r="B177" s="12" t="str">
        <f>Data!B176</f>
        <v>Vehicle, Company Group</v>
      </c>
      <c r="C177" s="12" t="str">
        <f>Data!D176</f>
        <v>b28</v>
      </c>
      <c r="D177" s="13">
        <f>Data!E176</f>
        <v>46066.121278935287</v>
      </c>
      <c r="E177" s="56">
        <f t="shared" si="8"/>
        <v>0</v>
      </c>
      <c r="F177" s="12" t="str">
        <f>Data!F176</f>
        <v>Telematics device fault: Check device installation as the accelerometer was disabled due to excessive data</v>
      </c>
      <c r="G177" s="14" t="str">
        <f>Data!A176&amp;" "&amp;Data!F176</f>
        <v>Demo - 40 Telematics device fault: Check device installation as the accelerometer was disabled due to excessive data</v>
      </c>
      <c r="H177" s="56">
        <f>IF(COUNTIF($G$10:G177,G177)&gt;1,0,1)</f>
        <v>0</v>
      </c>
      <c r="I177" s="12" t="str">
        <f>IF(L177=FALSE,Data!J176," ")</f>
        <v xml:space="preserve"> </v>
      </c>
      <c r="J177" s="15" t="b">
        <f t="shared" si="9"/>
        <v>0</v>
      </c>
      <c r="K177" s="12" t="str">
        <f>Data!H176</f>
        <v>Telematics Device</v>
      </c>
      <c r="L177" s="15" t="b">
        <f t="shared" si="10"/>
        <v>1</v>
      </c>
      <c r="M177" s="14" t="str">
        <f>Data!I176</f>
        <v>Telematics device</v>
      </c>
      <c r="N177" s="15" t="str">
        <f>Data!G176</f>
        <v>265</v>
      </c>
      <c r="O177" s="15" t="b">
        <f t="shared" si="11"/>
        <v>1</v>
      </c>
      <c r="P177" s="12" t="str">
        <f>IF(Data!K176=FALSE(),"", Data!K176)</f>
        <v/>
      </c>
      <c r="Q177" s="12" t="str">
        <f>IF(Data!L176=FALSE(),"", Data!L176)</f>
        <v/>
      </c>
      <c r="R177" s="12" t="str">
        <f>IF(Data!M176=FALSE(),"", Data!M176)</f>
        <v/>
      </c>
      <c r="S177" s="12" t="str">
        <f>IF(Data!N176=FALSE(),"", Data!N176)</f>
        <v/>
      </c>
    </row>
    <row r="178" spans="1:19" ht="16.5">
      <c r="A178" s="12" t="str">
        <f>Data!A177</f>
        <v>Demo - 40</v>
      </c>
      <c r="B178" s="12" t="str">
        <f>Data!B177</f>
        <v>Vehicle, Company Group</v>
      </c>
      <c r="C178" s="12" t="str">
        <f>Data!D177</f>
        <v>b28</v>
      </c>
      <c r="D178" s="13">
        <f>Data!E177</f>
        <v>46066.1348900464</v>
      </c>
      <c r="E178" s="56">
        <f t="shared" si="8"/>
        <v>0</v>
      </c>
      <c r="F178" s="12" t="str">
        <f>Data!F177</f>
        <v>Telematics device fault: Check device installation as the accelerometer was disabled due to excessive data</v>
      </c>
      <c r="G178" s="14" t="str">
        <f>Data!A177&amp;" "&amp;Data!F177</f>
        <v>Demo - 40 Telematics device fault: Check device installation as the accelerometer was disabled due to excessive data</v>
      </c>
      <c r="H178" s="56">
        <f>IF(COUNTIF($G$10:G178,G178)&gt;1,0,1)</f>
        <v>0</v>
      </c>
      <c r="I178" s="12" t="str">
        <f>IF(L178=FALSE,Data!J177," ")</f>
        <v xml:space="preserve"> </v>
      </c>
      <c r="J178" s="15" t="b">
        <f t="shared" si="9"/>
        <v>0</v>
      </c>
      <c r="K178" s="12" t="str">
        <f>Data!H177</f>
        <v>Telematics Device</v>
      </c>
      <c r="L178" s="15" t="b">
        <f t="shared" si="10"/>
        <v>1</v>
      </c>
      <c r="M178" s="14" t="str">
        <f>Data!I177</f>
        <v>Telematics device</v>
      </c>
      <c r="N178" s="15" t="str">
        <f>Data!G177</f>
        <v>265</v>
      </c>
      <c r="O178" s="15" t="b">
        <f t="shared" si="11"/>
        <v>1</v>
      </c>
      <c r="P178" s="12" t="str">
        <f>IF(Data!K177=FALSE(),"", Data!K177)</f>
        <v/>
      </c>
      <c r="Q178" s="12" t="str">
        <f>IF(Data!L177=FALSE(),"", Data!L177)</f>
        <v/>
      </c>
      <c r="R178" s="12" t="str">
        <f>IF(Data!M177=FALSE(),"", Data!M177)</f>
        <v/>
      </c>
      <c r="S178" s="12" t="str">
        <f>IF(Data!N177=FALSE(),"", Data!N177)</f>
        <v/>
      </c>
    </row>
    <row r="179" spans="1:19" ht="16.5">
      <c r="A179" s="12" t="str">
        <f>Data!A178</f>
        <v>Demo - 40</v>
      </c>
      <c r="B179" s="12" t="str">
        <f>Data!B178</f>
        <v>Vehicle, Company Group</v>
      </c>
      <c r="C179" s="12" t="str">
        <f>Data!D178</f>
        <v>b28</v>
      </c>
      <c r="D179" s="13">
        <f>Data!E178</f>
        <v>46066.140190972321</v>
      </c>
      <c r="E179" s="56">
        <f t="shared" si="8"/>
        <v>0</v>
      </c>
      <c r="F179" s="12" t="str">
        <f>Data!F178</f>
        <v>Telematics device fault: Check device installation as the accelerometer was disabled due to excessive data</v>
      </c>
      <c r="G179" s="14" t="str">
        <f>Data!A178&amp;" "&amp;Data!F178</f>
        <v>Demo - 40 Telematics device fault: Check device installation as the accelerometer was disabled due to excessive data</v>
      </c>
      <c r="H179" s="56">
        <f>IF(COUNTIF($G$10:G179,G179)&gt;1,0,1)</f>
        <v>0</v>
      </c>
      <c r="I179" s="12" t="str">
        <f>IF(L179=FALSE,Data!J178," ")</f>
        <v xml:space="preserve"> </v>
      </c>
      <c r="J179" s="15" t="b">
        <f t="shared" si="9"/>
        <v>0</v>
      </c>
      <c r="K179" s="12" t="str">
        <f>Data!H178</f>
        <v>Telematics Device</v>
      </c>
      <c r="L179" s="15" t="b">
        <f t="shared" si="10"/>
        <v>1</v>
      </c>
      <c r="M179" s="14" t="str">
        <f>Data!I178</f>
        <v>Telematics device</v>
      </c>
      <c r="N179" s="15" t="str">
        <f>Data!G178</f>
        <v>265</v>
      </c>
      <c r="O179" s="15" t="b">
        <f t="shared" si="11"/>
        <v>1</v>
      </c>
      <c r="P179" s="12" t="str">
        <f>IF(Data!K178=FALSE(),"", Data!K178)</f>
        <v/>
      </c>
      <c r="Q179" s="12" t="str">
        <f>IF(Data!L178=FALSE(),"", Data!L178)</f>
        <v/>
      </c>
      <c r="R179" s="12" t="str">
        <f>IF(Data!M178=FALSE(),"", Data!M178)</f>
        <v/>
      </c>
      <c r="S179" s="12" t="str">
        <f>IF(Data!N178=FALSE(),"", Data!N178)</f>
        <v/>
      </c>
    </row>
    <row r="180" spans="1:19" ht="16.5">
      <c r="A180" s="12" t="str">
        <f>Data!A179</f>
        <v>Demo - 40</v>
      </c>
      <c r="B180" s="12" t="str">
        <f>Data!B179</f>
        <v>Vehicle, Company Group</v>
      </c>
      <c r="C180" s="12" t="str">
        <f>Data!D179</f>
        <v>b28</v>
      </c>
      <c r="D180" s="13">
        <f>Data!E179</f>
        <v>46066.164021990844</v>
      </c>
      <c r="E180" s="56">
        <f t="shared" si="8"/>
        <v>0</v>
      </c>
      <c r="F180" s="12" t="str">
        <f>Data!F179</f>
        <v>Telematics device fault: Check device installation as the accelerometer was disabled due to excessive data</v>
      </c>
      <c r="G180" s="14" t="str">
        <f>Data!A179&amp;" "&amp;Data!F179</f>
        <v>Demo - 40 Telematics device fault: Check device installation as the accelerometer was disabled due to excessive data</v>
      </c>
      <c r="H180" s="56">
        <f>IF(COUNTIF($G$10:G180,G180)&gt;1,0,1)</f>
        <v>0</v>
      </c>
      <c r="I180" s="12" t="str">
        <f>IF(L180=FALSE,Data!J179," ")</f>
        <v xml:space="preserve"> </v>
      </c>
      <c r="J180" s="15" t="b">
        <f t="shared" si="9"/>
        <v>0</v>
      </c>
      <c r="K180" s="12" t="str">
        <f>Data!H179</f>
        <v>Telematics Device</v>
      </c>
      <c r="L180" s="15" t="b">
        <f t="shared" si="10"/>
        <v>1</v>
      </c>
      <c r="M180" s="14" t="str">
        <f>Data!I179</f>
        <v>Telematics device</v>
      </c>
      <c r="N180" s="15" t="str">
        <f>Data!G179</f>
        <v>265</v>
      </c>
      <c r="O180" s="15" t="b">
        <f t="shared" si="11"/>
        <v>1</v>
      </c>
      <c r="P180" s="12" t="str">
        <f>IF(Data!K179=FALSE(),"", Data!K179)</f>
        <v/>
      </c>
      <c r="Q180" s="12" t="str">
        <f>IF(Data!L179=FALSE(),"", Data!L179)</f>
        <v/>
      </c>
      <c r="R180" s="12" t="str">
        <f>IF(Data!M179=FALSE(),"", Data!M179)</f>
        <v/>
      </c>
      <c r="S180" s="12" t="str">
        <f>IF(Data!N179=FALSE(),"", Data!N179)</f>
        <v/>
      </c>
    </row>
    <row r="181" spans="1:19" ht="16.5">
      <c r="A181" s="12" t="str">
        <f>Data!A180</f>
        <v>Demo - 40</v>
      </c>
      <c r="B181" s="12" t="str">
        <f>Data!B180</f>
        <v>Vehicle, Company Group</v>
      </c>
      <c r="C181" s="12" t="str">
        <f>Data!D180</f>
        <v>b28</v>
      </c>
      <c r="D181" s="13">
        <f>Data!E180</f>
        <v>46066.9857812501</v>
      </c>
      <c r="E181" s="56">
        <f t="shared" si="8"/>
        <v>0</v>
      </c>
      <c r="F181" s="12" t="str">
        <f>Data!F180</f>
        <v>Telematics device fault: Check device installation as the accelerometer was disabled due to excessive data</v>
      </c>
      <c r="G181" s="14" t="str">
        <f>Data!A180&amp;" "&amp;Data!F180</f>
        <v>Demo - 40 Telematics device fault: Check device installation as the accelerometer was disabled due to excessive data</v>
      </c>
      <c r="H181" s="56">
        <f>IF(COUNTIF($G$10:G181,G181)&gt;1,0,1)</f>
        <v>0</v>
      </c>
      <c r="I181" s="12" t="str">
        <f>IF(L181=FALSE,Data!J180," ")</f>
        <v xml:space="preserve"> </v>
      </c>
      <c r="J181" s="15" t="b">
        <f t="shared" si="9"/>
        <v>0</v>
      </c>
      <c r="K181" s="12" t="str">
        <f>Data!H180</f>
        <v>Telematics Device</v>
      </c>
      <c r="L181" s="15" t="b">
        <f t="shared" si="10"/>
        <v>1</v>
      </c>
      <c r="M181" s="14" t="str">
        <f>Data!I180</f>
        <v>Telematics device</v>
      </c>
      <c r="N181" s="15" t="str">
        <f>Data!G180</f>
        <v>265</v>
      </c>
      <c r="O181" s="15" t="b">
        <f t="shared" si="11"/>
        <v>1</v>
      </c>
      <c r="P181" s="12" t="str">
        <f>IF(Data!K180=FALSE(),"", Data!K180)</f>
        <v/>
      </c>
      <c r="Q181" s="12" t="str">
        <f>IF(Data!L180=FALSE(),"", Data!L180)</f>
        <v/>
      </c>
      <c r="R181" s="12" t="str">
        <f>IF(Data!M180=FALSE(),"", Data!M180)</f>
        <v/>
      </c>
      <c r="S181" s="12" t="str">
        <f>IF(Data!N180=FALSE(),"", Data!N180)</f>
        <v/>
      </c>
    </row>
    <row r="182" spans="1:19" ht="16.5">
      <c r="A182" s="12" t="str">
        <f>Data!A181</f>
        <v>Demo - 40</v>
      </c>
      <c r="B182" s="12" t="str">
        <f>Data!B181</f>
        <v>Vehicle, Company Group</v>
      </c>
      <c r="C182" s="12" t="str">
        <f>Data!D181</f>
        <v>b28</v>
      </c>
      <c r="D182" s="13">
        <f>Data!E181</f>
        <v>46067.02147569455</v>
      </c>
      <c r="E182" s="56">
        <f t="shared" si="8"/>
        <v>0</v>
      </c>
      <c r="F182" s="12" t="str">
        <f>Data!F181</f>
        <v>Telematics device fault: Check device installation as the accelerometer was disabled due to excessive data</v>
      </c>
      <c r="G182" s="14" t="str">
        <f>Data!A181&amp;" "&amp;Data!F181</f>
        <v>Demo - 40 Telematics device fault: Check device installation as the accelerometer was disabled due to excessive data</v>
      </c>
      <c r="H182" s="56">
        <f>IF(COUNTIF($G$10:G182,G182)&gt;1,0,1)</f>
        <v>0</v>
      </c>
      <c r="I182" s="12" t="str">
        <f>IF(L182=FALSE,Data!J181," ")</f>
        <v xml:space="preserve"> </v>
      </c>
      <c r="J182" s="15" t="b">
        <f t="shared" si="9"/>
        <v>0</v>
      </c>
      <c r="K182" s="12" t="str">
        <f>Data!H181</f>
        <v>Telematics Device</v>
      </c>
      <c r="L182" s="15" t="b">
        <f t="shared" si="10"/>
        <v>1</v>
      </c>
      <c r="M182" s="14" t="str">
        <f>Data!I181</f>
        <v>Telematics device</v>
      </c>
      <c r="N182" s="15" t="str">
        <f>Data!G181</f>
        <v>265</v>
      </c>
      <c r="O182" s="15" t="b">
        <f t="shared" si="11"/>
        <v>1</v>
      </c>
      <c r="P182" s="12" t="str">
        <f>IF(Data!K181=FALSE(),"", Data!K181)</f>
        <v/>
      </c>
      <c r="Q182" s="12" t="str">
        <f>IF(Data!L181=FALSE(),"", Data!L181)</f>
        <v/>
      </c>
      <c r="R182" s="12" t="str">
        <f>IF(Data!M181=FALSE(),"", Data!M181)</f>
        <v/>
      </c>
      <c r="S182" s="12" t="str">
        <f>IF(Data!N181=FALSE(),"", Data!N181)</f>
        <v/>
      </c>
    </row>
    <row r="183" spans="1:19" ht="16.5">
      <c r="A183" s="12" t="str">
        <f>Data!A182</f>
        <v>Demo - 40</v>
      </c>
      <c r="B183" s="12" t="str">
        <f>Data!B182</f>
        <v>Vehicle, Company Group</v>
      </c>
      <c r="C183" s="12" t="str">
        <f>Data!D182</f>
        <v>b28</v>
      </c>
      <c r="D183" s="13">
        <f>Data!E182</f>
        <v>46067.05409143529</v>
      </c>
      <c r="E183" s="56">
        <f t="shared" si="8"/>
        <v>0</v>
      </c>
      <c r="F183" s="12" t="str">
        <f>Data!F182</f>
        <v>Telematics device fault: Check device installation as the accelerometer was disabled due to excessive data</v>
      </c>
      <c r="G183" s="14" t="str">
        <f>Data!A182&amp;" "&amp;Data!F182</f>
        <v>Demo - 40 Telematics device fault: Check device installation as the accelerometer was disabled due to excessive data</v>
      </c>
      <c r="H183" s="56">
        <f>IF(COUNTIF($G$10:G183,G183)&gt;1,0,1)</f>
        <v>0</v>
      </c>
      <c r="I183" s="12" t="str">
        <f>IF(L183=FALSE,Data!J182," ")</f>
        <v xml:space="preserve"> </v>
      </c>
      <c r="J183" s="15" t="b">
        <f t="shared" si="9"/>
        <v>0</v>
      </c>
      <c r="K183" s="12" t="str">
        <f>Data!H182</f>
        <v>Telematics Device</v>
      </c>
      <c r="L183" s="15" t="b">
        <f t="shared" si="10"/>
        <v>1</v>
      </c>
      <c r="M183" s="14" t="str">
        <f>Data!I182</f>
        <v>Telematics device</v>
      </c>
      <c r="N183" s="15" t="str">
        <f>Data!G182</f>
        <v>265</v>
      </c>
      <c r="O183" s="15" t="b">
        <f t="shared" si="11"/>
        <v>1</v>
      </c>
      <c r="P183" s="12" t="str">
        <f>IF(Data!K182=FALSE(),"", Data!K182)</f>
        <v/>
      </c>
      <c r="Q183" s="12" t="str">
        <f>IF(Data!L182=FALSE(),"", Data!L182)</f>
        <v/>
      </c>
      <c r="R183" s="12" t="str">
        <f>IF(Data!M182=FALSE(),"", Data!M182)</f>
        <v/>
      </c>
      <c r="S183" s="12" t="str">
        <f>IF(Data!N182=FALSE(),"", Data!N182)</f>
        <v/>
      </c>
    </row>
    <row r="184" spans="1:19" ht="16.5">
      <c r="A184" s="12" t="str">
        <f>Data!A183</f>
        <v>Demo - 40</v>
      </c>
      <c r="B184" s="12" t="str">
        <f>Data!B183</f>
        <v>Vehicle, Company Group</v>
      </c>
      <c r="C184" s="12" t="str">
        <f>Data!D183</f>
        <v>b28</v>
      </c>
      <c r="D184" s="13">
        <f>Data!E183</f>
        <v>46067.100538194543</v>
      </c>
      <c r="E184" s="56">
        <f t="shared" si="8"/>
        <v>0</v>
      </c>
      <c r="F184" s="12" t="str">
        <f>Data!F183</f>
        <v>Telematics device fault: Check device installation as the accelerometer was disabled due to excessive data</v>
      </c>
      <c r="G184" s="14" t="str">
        <f>Data!A183&amp;" "&amp;Data!F183</f>
        <v>Demo - 40 Telematics device fault: Check device installation as the accelerometer was disabled due to excessive data</v>
      </c>
      <c r="H184" s="56">
        <f>IF(COUNTIF($G$10:G184,G184)&gt;1,0,1)</f>
        <v>0</v>
      </c>
      <c r="I184" s="12" t="str">
        <f>IF(L184=FALSE,Data!J183," ")</f>
        <v xml:space="preserve"> </v>
      </c>
      <c r="J184" s="15" t="b">
        <f t="shared" si="9"/>
        <v>0</v>
      </c>
      <c r="K184" s="12" t="str">
        <f>Data!H183</f>
        <v>Telematics Device</v>
      </c>
      <c r="L184" s="15" t="b">
        <f t="shared" si="10"/>
        <v>1</v>
      </c>
      <c r="M184" s="14" t="str">
        <f>Data!I183</f>
        <v>Telematics device</v>
      </c>
      <c r="N184" s="15" t="str">
        <f>Data!G183</f>
        <v>265</v>
      </c>
      <c r="O184" s="15" t="b">
        <f t="shared" si="11"/>
        <v>1</v>
      </c>
      <c r="P184" s="12" t="str">
        <f>IF(Data!K183=FALSE(),"", Data!K183)</f>
        <v/>
      </c>
      <c r="Q184" s="12" t="str">
        <f>IF(Data!L183=FALSE(),"", Data!L183)</f>
        <v/>
      </c>
      <c r="R184" s="12" t="str">
        <f>IF(Data!M183=FALSE(),"", Data!M183)</f>
        <v/>
      </c>
      <c r="S184" s="12" t="str">
        <f>IF(Data!N183=FALSE(),"", Data!N183)</f>
        <v/>
      </c>
    </row>
    <row r="185" spans="1:19" ht="16.5">
      <c r="A185" s="12" t="str">
        <f>Data!A184</f>
        <v>Demo - 40</v>
      </c>
      <c r="B185" s="12" t="str">
        <f>Data!B184</f>
        <v>Vehicle, Company Group</v>
      </c>
      <c r="C185" s="12" t="str">
        <f>Data!D184</f>
        <v>b28</v>
      </c>
      <c r="D185" s="13">
        <f>Data!E184</f>
        <v>46067.131128472327</v>
      </c>
      <c r="E185" s="56">
        <f t="shared" si="8"/>
        <v>0</v>
      </c>
      <c r="F185" s="12" t="str">
        <f>Data!F184</f>
        <v>Telematics device fault: Check device installation as the accelerometer was disabled due to excessive data</v>
      </c>
      <c r="G185" s="14" t="str">
        <f>Data!A184&amp;" "&amp;Data!F184</f>
        <v>Demo - 40 Telematics device fault: Check device installation as the accelerometer was disabled due to excessive data</v>
      </c>
      <c r="H185" s="56">
        <f>IF(COUNTIF($G$10:G185,G185)&gt;1,0,1)</f>
        <v>0</v>
      </c>
      <c r="I185" s="12" t="str">
        <f>IF(L185=FALSE,Data!J184," ")</f>
        <v xml:space="preserve"> </v>
      </c>
      <c r="J185" s="15" t="b">
        <f t="shared" si="9"/>
        <v>0</v>
      </c>
      <c r="K185" s="12" t="str">
        <f>Data!H184</f>
        <v>Telematics Device</v>
      </c>
      <c r="L185" s="15" t="b">
        <f t="shared" si="10"/>
        <v>1</v>
      </c>
      <c r="M185" s="14" t="str">
        <f>Data!I184</f>
        <v>Telematics device</v>
      </c>
      <c r="N185" s="15" t="str">
        <f>Data!G184</f>
        <v>265</v>
      </c>
      <c r="O185" s="15" t="b">
        <f t="shared" si="11"/>
        <v>1</v>
      </c>
      <c r="P185" s="12" t="str">
        <f>IF(Data!K184=FALSE(),"", Data!K184)</f>
        <v/>
      </c>
      <c r="Q185" s="12" t="str">
        <f>IF(Data!L184=FALSE(),"", Data!L184)</f>
        <v/>
      </c>
      <c r="R185" s="12" t="str">
        <f>IF(Data!M184=FALSE(),"", Data!M184)</f>
        <v/>
      </c>
      <c r="S185" s="12" t="str">
        <f>IF(Data!N184=FALSE(),"", Data!N184)</f>
        <v/>
      </c>
    </row>
    <row r="186" spans="1:19" ht="16.5">
      <c r="A186" s="12" t="str">
        <f>Data!A185</f>
        <v>Demo - 40</v>
      </c>
      <c r="B186" s="12" t="str">
        <f>Data!B185</f>
        <v>Vehicle, Company Group</v>
      </c>
      <c r="C186" s="12" t="str">
        <f>Data!D185</f>
        <v>b28</v>
      </c>
      <c r="D186" s="13">
        <f>Data!E185</f>
        <v>46067.155121527881</v>
      </c>
      <c r="E186" s="56">
        <f t="shared" si="8"/>
        <v>0</v>
      </c>
      <c r="F186" s="12" t="str">
        <f>Data!F185</f>
        <v>Telematics device fault: Check device installation as the accelerometer was disabled due to excessive data</v>
      </c>
      <c r="G186" s="14" t="str">
        <f>Data!A185&amp;" "&amp;Data!F185</f>
        <v>Demo - 40 Telematics device fault: Check device installation as the accelerometer was disabled due to excessive data</v>
      </c>
      <c r="H186" s="56">
        <f>IF(COUNTIF($G$10:G186,G186)&gt;1,0,1)</f>
        <v>0</v>
      </c>
      <c r="I186" s="12" t="str">
        <f>IF(L186=FALSE,Data!J185," ")</f>
        <v xml:space="preserve"> </v>
      </c>
      <c r="J186" s="15" t="b">
        <f t="shared" si="9"/>
        <v>0</v>
      </c>
      <c r="K186" s="12" t="str">
        <f>Data!H185</f>
        <v>Telematics Device</v>
      </c>
      <c r="L186" s="15" t="b">
        <f t="shared" si="10"/>
        <v>1</v>
      </c>
      <c r="M186" s="14" t="str">
        <f>Data!I185</f>
        <v>Telematics device</v>
      </c>
      <c r="N186" s="15" t="str">
        <f>Data!G185</f>
        <v>265</v>
      </c>
      <c r="O186" s="15" t="b">
        <f t="shared" si="11"/>
        <v>1</v>
      </c>
      <c r="P186" s="12" t="str">
        <f>IF(Data!K185=FALSE(),"", Data!K185)</f>
        <v/>
      </c>
      <c r="Q186" s="12" t="str">
        <f>IF(Data!L185=FALSE(),"", Data!L185)</f>
        <v/>
      </c>
      <c r="R186" s="12" t="str">
        <f>IF(Data!M185=FALSE(),"", Data!M185)</f>
        <v/>
      </c>
      <c r="S186" s="12" t="str">
        <f>IF(Data!N185=FALSE(),"", Data!N185)</f>
        <v/>
      </c>
    </row>
    <row r="187" spans="1:19" ht="16.5">
      <c r="A187" s="12" t="str">
        <f>Data!A186</f>
        <v>Demo - 40</v>
      </c>
      <c r="B187" s="12" t="str">
        <f>Data!B186</f>
        <v>Vehicle, Company Group</v>
      </c>
      <c r="C187" s="12" t="str">
        <f>Data!D186</f>
        <v>b28</v>
      </c>
      <c r="D187" s="13">
        <f>Data!E186</f>
        <v>46067.168015046402</v>
      </c>
      <c r="E187" s="56">
        <f t="shared" si="8"/>
        <v>0</v>
      </c>
      <c r="F187" s="12" t="str">
        <f>Data!F186</f>
        <v>Telematics device fault: Check device installation as the accelerometer was disabled due to excessive data</v>
      </c>
      <c r="G187" s="14" t="str">
        <f>Data!A186&amp;" "&amp;Data!F186</f>
        <v>Demo - 40 Telematics device fault: Check device installation as the accelerometer was disabled due to excessive data</v>
      </c>
      <c r="H187" s="56">
        <f>IF(COUNTIF($G$10:G187,G187)&gt;1,0,1)</f>
        <v>0</v>
      </c>
      <c r="I187" s="12" t="str">
        <f>IF(L187=FALSE,Data!J186," ")</f>
        <v xml:space="preserve"> </v>
      </c>
      <c r="J187" s="15" t="b">
        <f t="shared" si="9"/>
        <v>0</v>
      </c>
      <c r="K187" s="12" t="str">
        <f>Data!H186</f>
        <v>Telematics Device</v>
      </c>
      <c r="L187" s="15" t="b">
        <f t="shared" si="10"/>
        <v>1</v>
      </c>
      <c r="M187" s="14" t="str">
        <f>Data!I186</f>
        <v>Telematics device</v>
      </c>
      <c r="N187" s="15" t="str">
        <f>Data!G186</f>
        <v>265</v>
      </c>
      <c r="O187" s="15" t="b">
        <f t="shared" si="11"/>
        <v>1</v>
      </c>
      <c r="P187" s="12" t="str">
        <f>IF(Data!K186=FALSE(),"", Data!K186)</f>
        <v/>
      </c>
      <c r="Q187" s="12" t="str">
        <f>IF(Data!L186=FALSE(),"", Data!L186)</f>
        <v/>
      </c>
      <c r="R187" s="12" t="str">
        <f>IF(Data!M186=FALSE(),"", Data!M186)</f>
        <v/>
      </c>
      <c r="S187" s="12" t="str">
        <f>IF(Data!N186=FALSE(),"", Data!N186)</f>
        <v/>
      </c>
    </row>
    <row r="188" spans="1:19" ht="16.5">
      <c r="A188" s="12" t="str">
        <f>Data!A187</f>
        <v>Demo - 40</v>
      </c>
      <c r="B188" s="12" t="str">
        <f>Data!B187</f>
        <v>Vehicle, Company Group</v>
      </c>
      <c r="C188" s="12" t="str">
        <f>Data!D187</f>
        <v>b28</v>
      </c>
      <c r="D188" s="13">
        <f>Data!E187</f>
        <v>46067.195526620475</v>
      </c>
      <c r="E188" s="56">
        <f t="shared" si="8"/>
        <v>0</v>
      </c>
      <c r="F188" s="12" t="str">
        <f>Data!F187</f>
        <v>Telematics device fault: Check device installation as the accelerometer was disabled due to excessive data</v>
      </c>
      <c r="G188" s="14" t="str">
        <f>Data!A187&amp;" "&amp;Data!F187</f>
        <v>Demo - 40 Telematics device fault: Check device installation as the accelerometer was disabled due to excessive data</v>
      </c>
      <c r="H188" s="56">
        <f>IF(COUNTIF($G$10:G188,G188)&gt;1,0,1)</f>
        <v>0</v>
      </c>
      <c r="I188" s="12" t="str">
        <f>IF(L188=FALSE,Data!J187," ")</f>
        <v xml:space="preserve"> </v>
      </c>
      <c r="J188" s="15" t="b">
        <f t="shared" si="9"/>
        <v>0</v>
      </c>
      <c r="K188" s="12" t="str">
        <f>Data!H187</f>
        <v>Telematics Device</v>
      </c>
      <c r="L188" s="15" t="b">
        <f t="shared" si="10"/>
        <v>1</v>
      </c>
      <c r="M188" s="14" t="str">
        <f>Data!I187</f>
        <v>Telematics device</v>
      </c>
      <c r="N188" s="15" t="str">
        <f>Data!G187</f>
        <v>265</v>
      </c>
      <c r="O188" s="15" t="b">
        <f t="shared" si="11"/>
        <v>1</v>
      </c>
      <c r="P188" s="12" t="str">
        <f>IF(Data!K187=FALSE(),"", Data!K187)</f>
        <v/>
      </c>
      <c r="Q188" s="12" t="str">
        <f>IF(Data!L187=FALSE(),"", Data!L187)</f>
        <v/>
      </c>
      <c r="R188" s="12" t="str">
        <f>IF(Data!M187=FALSE(),"", Data!M187)</f>
        <v/>
      </c>
      <c r="S188" s="12" t="str">
        <f>IF(Data!N187=FALSE(),"", Data!N187)</f>
        <v/>
      </c>
    </row>
    <row r="189" spans="1:19" ht="16.5">
      <c r="A189" s="12" t="str">
        <f>Data!A188</f>
        <v>Demo - 40</v>
      </c>
      <c r="B189" s="12" t="str">
        <f>Data!B188</f>
        <v>Vehicle, Company Group</v>
      </c>
      <c r="C189" s="12" t="str">
        <f>Data!D188</f>
        <v>b28</v>
      </c>
      <c r="D189" s="13">
        <f>Data!E188</f>
        <v>46068.205827546401</v>
      </c>
      <c r="E189" s="56">
        <f t="shared" si="8"/>
        <v>0</v>
      </c>
      <c r="F189" s="12" t="str">
        <f>Data!F188</f>
        <v>Telematics device fault: Check device installation as the accelerometer was disabled due to excessive data</v>
      </c>
      <c r="G189" s="14" t="str">
        <f>Data!A188&amp;" "&amp;Data!F188</f>
        <v>Demo - 40 Telematics device fault: Check device installation as the accelerometer was disabled due to excessive data</v>
      </c>
      <c r="H189" s="56">
        <f>IF(COUNTIF($G$10:G189,G189)&gt;1,0,1)</f>
        <v>0</v>
      </c>
      <c r="I189" s="12" t="str">
        <f>IF(L189=FALSE,Data!J188," ")</f>
        <v xml:space="preserve"> </v>
      </c>
      <c r="J189" s="15" t="b">
        <f t="shared" si="9"/>
        <v>0</v>
      </c>
      <c r="K189" s="12" t="str">
        <f>Data!H188</f>
        <v>Telematics Device</v>
      </c>
      <c r="L189" s="15" t="b">
        <f t="shared" si="10"/>
        <v>1</v>
      </c>
      <c r="M189" s="14" t="str">
        <f>Data!I188</f>
        <v>Telematics device</v>
      </c>
      <c r="N189" s="15" t="str">
        <f>Data!G188</f>
        <v>265</v>
      </c>
      <c r="O189" s="15" t="b">
        <f t="shared" si="11"/>
        <v>1</v>
      </c>
      <c r="P189" s="12" t="str">
        <f>IF(Data!K188=FALSE(),"", Data!K188)</f>
        <v/>
      </c>
      <c r="Q189" s="12" t="str">
        <f>IF(Data!L188=FALSE(),"", Data!L188)</f>
        <v/>
      </c>
      <c r="R189" s="12" t="str">
        <f>IF(Data!M188=FALSE(),"", Data!M188)</f>
        <v/>
      </c>
      <c r="S189" s="12" t="str">
        <f>IF(Data!N188=FALSE(),"", Data!N188)</f>
        <v/>
      </c>
    </row>
    <row r="190" spans="1:19" ht="16.5">
      <c r="A190" s="12" t="str">
        <f>Data!A189</f>
        <v>Demo - 40</v>
      </c>
      <c r="B190" s="12" t="str">
        <f>Data!B189</f>
        <v>Vehicle, Company Group</v>
      </c>
      <c r="C190" s="12" t="str">
        <f>Data!D189</f>
        <v>b28</v>
      </c>
      <c r="D190" s="13">
        <f>Data!E189</f>
        <v>46068.21264467603</v>
      </c>
      <c r="E190" s="56">
        <f t="shared" si="8"/>
        <v>0</v>
      </c>
      <c r="F190" s="12" t="str">
        <f>Data!F189</f>
        <v>Telematics device fault: Check device installation as the accelerometer was disabled due to excessive data</v>
      </c>
      <c r="G190" s="14" t="str">
        <f>Data!A189&amp;" "&amp;Data!F189</f>
        <v>Demo - 40 Telematics device fault: Check device installation as the accelerometer was disabled due to excessive data</v>
      </c>
      <c r="H190" s="56">
        <f>IF(COUNTIF($G$10:G190,G190)&gt;1,0,1)</f>
        <v>0</v>
      </c>
      <c r="I190" s="12" t="str">
        <f>IF(L190=FALSE,Data!J189," ")</f>
        <v xml:space="preserve"> </v>
      </c>
      <c r="J190" s="15" t="b">
        <f t="shared" si="9"/>
        <v>0</v>
      </c>
      <c r="K190" s="12" t="str">
        <f>Data!H189</f>
        <v>Telematics Device</v>
      </c>
      <c r="L190" s="15" t="b">
        <f t="shared" si="10"/>
        <v>1</v>
      </c>
      <c r="M190" s="14" t="str">
        <f>Data!I189</f>
        <v>Telematics device</v>
      </c>
      <c r="N190" s="15" t="str">
        <f>Data!G189</f>
        <v>265</v>
      </c>
      <c r="O190" s="15" t="b">
        <f t="shared" si="11"/>
        <v>1</v>
      </c>
      <c r="P190" s="12" t="str">
        <f>IF(Data!K189=FALSE(),"", Data!K189)</f>
        <v/>
      </c>
      <c r="Q190" s="12" t="str">
        <f>IF(Data!L189=FALSE(),"", Data!L189)</f>
        <v/>
      </c>
      <c r="R190" s="12" t="str">
        <f>IF(Data!M189=FALSE(),"", Data!M189)</f>
        <v/>
      </c>
      <c r="S190" s="12" t="str">
        <f>IF(Data!N189=FALSE(),"", Data!N189)</f>
        <v/>
      </c>
    </row>
    <row r="191" spans="1:19" ht="16.5">
      <c r="A191" s="12" t="str">
        <f>Data!A190</f>
        <v>Demo - 40</v>
      </c>
      <c r="B191" s="12" t="str">
        <f>Data!B190</f>
        <v>Vehicle, Company Group</v>
      </c>
      <c r="C191" s="12" t="str">
        <f>Data!D190</f>
        <v>b28</v>
      </c>
      <c r="D191" s="13">
        <f>Data!E190</f>
        <v>46068.364994213065</v>
      </c>
      <c r="E191" s="56">
        <f t="shared" si="8"/>
        <v>0</v>
      </c>
      <c r="F191" s="12" t="str">
        <f>Data!F190</f>
        <v>Telematics device fault: Check device installation as the accelerometer was disabled due to excessive data</v>
      </c>
      <c r="G191" s="14" t="str">
        <f>Data!A190&amp;" "&amp;Data!F190</f>
        <v>Demo - 40 Telematics device fault: Check device installation as the accelerometer was disabled due to excessive data</v>
      </c>
      <c r="H191" s="56">
        <f>IF(COUNTIF($G$10:G191,G191)&gt;1,0,1)</f>
        <v>0</v>
      </c>
      <c r="I191" s="12" t="str">
        <f>IF(L191=FALSE,Data!J190," ")</f>
        <v xml:space="preserve"> </v>
      </c>
      <c r="J191" s="15" t="b">
        <f t="shared" si="9"/>
        <v>0</v>
      </c>
      <c r="K191" s="12" t="str">
        <f>Data!H190</f>
        <v>Telematics Device</v>
      </c>
      <c r="L191" s="15" t="b">
        <f t="shared" si="10"/>
        <v>1</v>
      </c>
      <c r="M191" s="14" t="str">
        <f>Data!I190</f>
        <v>Telematics device</v>
      </c>
      <c r="N191" s="15" t="str">
        <f>Data!G190</f>
        <v>265</v>
      </c>
      <c r="O191" s="15" t="b">
        <f t="shared" si="11"/>
        <v>1</v>
      </c>
      <c r="P191" s="12" t="str">
        <f>IF(Data!K190=FALSE(),"", Data!K190)</f>
        <v/>
      </c>
      <c r="Q191" s="12" t="str">
        <f>IF(Data!L190=FALSE(),"", Data!L190)</f>
        <v/>
      </c>
      <c r="R191" s="12" t="str">
        <f>IF(Data!M190=FALSE(),"", Data!M190)</f>
        <v/>
      </c>
      <c r="S191" s="12" t="str">
        <f>IF(Data!N190=FALSE(),"", Data!N190)</f>
        <v/>
      </c>
    </row>
    <row r="192" spans="1:19" ht="16.5">
      <c r="A192" s="12" t="str">
        <f>Data!A191</f>
        <v>Demo - 40</v>
      </c>
      <c r="B192" s="12" t="str">
        <f>Data!B191</f>
        <v>Vehicle, Company Group</v>
      </c>
      <c r="C192" s="12" t="str">
        <f>Data!D191</f>
        <v>b28</v>
      </c>
      <c r="D192" s="13">
        <f>Data!E191</f>
        <v>46068.385329861216</v>
      </c>
      <c r="E192" s="56">
        <f t="shared" si="8"/>
        <v>0</v>
      </c>
      <c r="F192" s="12" t="str">
        <f>Data!F191</f>
        <v>Telematics device fault: Check device installation as the accelerometer was disabled due to excessive data</v>
      </c>
      <c r="G192" s="14" t="str">
        <f>Data!A191&amp;" "&amp;Data!F191</f>
        <v>Demo - 40 Telematics device fault: Check device installation as the accelerometer was disabled due to excessive data</v>
      </c>
      <c r="H192" s="56">
        <f>IF(COUNTIF($G$10:G192,G192)&gt;1,0,1)</f>
        <v>0</v>
      </c>
      <c r="I192" s="12" t="str">
        <f>IF(L192=FALSE,Data!J191," ")</f>
        <v xml:space="preserve"> </v>
      </c>
      <c r="J192" s="15" t="b">
        <f t="shared" si="9"/>
        <v>0</v>
      </c>
      <c r="K192" s="12" t="str">
        <f>Data!H191</f>
        <v>Telematics Device</v>
      </c>
      <c r="L192" s="15" t="b">
        <f t="shared" si="10"/>
        <v>1</v>
      </c>
      <c r="M192" s="14" t="str">
        <f>Data!I191</f>
        <v>Telematics device</v>
      </c>
      <c r="N192" s="15" t="str">
        <f>Data!G191</f>
        <v>265</v>
      </c>
      <c r="O192" s="15" t="b">
        <f t="shared" si="11"/>
        <v>1</v>
      </c>
      <c r="P192" s="12" t="str">
        <f>IF(Data!K191=FALSE(),"", Data!K191)</f>
        <v/>
      </c>
      <c r="Q192" s="12" t="str">
        <f>IF(Data!L191=FALSE(),"", Data!L191)</f>
        <v/>
      </c>
      <c r="R192" s="12" t="str">
        <f>IF(Data!M191=FALSE(),"", Data!M191)</f>
        <v/>
      </c>
      <c r="S192" s="12" t="str">
        <f>IF(Data!N191=FALSE(),"", Data!N191)</f>
        <v/>
      </c>
    </row>
    <row r="193" spans="1:19" ht="16.5">
      <c r="A193" s="12" t="str">
        <f>Data!A192</f>
        <v>Demo - 40</v>
      </c>
      <c r="B193" s="12" t="str">
        <f>Data!B192</f>
        <v>Vehicle, Company Group</v>
      </c>
      <c r="C193" s="12" t="str">
        <f>Data!D192</f>
        <v>b28</v>
      </c>
      <c r="D193" s="13">
        <f>Data!E192</f>
        <v>46068.419670138988</v>
      </c>
      <c r="E193" s="56">
        <f t="shared" si="8"/>
        <v>0</v>
      </c>
      <c r="F193" s="12" t="str">
        <f>Data!F192</f>
        <v>Telematics device fault: Check device installation as the accelerometer was disabled due to excessive data</v>
      </c>
      <c r="G193" s="14" t="str">
        <f>Data!A192&amp;" "&amp;Data!F192</f>
        <v>Demo - 40 Telematics device fault: Check device installation as the accelerometer was disabled due to excessive data</v>
      </c>
      <c r="H193" s="56">
        <f>IF(COUNTIF($G$10:G193,G193)&gt;1,0,1)</f>
        <v>0</v>
      </c>
      <c r="I193" s="12" t="str">
        <f>IF(L193=FALSE,Data!J192," ")</f>
        <v xml:space="preserve"> </v>
      </c>
      <c r="J193" s="15" t="b">
        <f t="shared" si="9"/>
        <v>0</v>
      </c>
      <c r="K193" s="12" t="str">
        <f>Data!H192</f>
        <v>Telematics Device</v>
      </c>
      <c r="L193" s="15" t="b">
        <f t="shared" si="10"/>
        <v>1</v>
      </c>
      <c r="M193" s="14" t="str">
        <f>Data!I192</f>
        <v>Telematics device</v>
      </c>
      <c r="N193" s="15" t="str">
        <f>Data!G192</f>
        <v>265</v>
      </c>
      <c r="O193" s="15" t="b">
        <f t="shared" si="11"/>
        <v>1</v>
      </c>
      <c r="P193" s="12" t="str">
        <f>IF(Data!K192=FALSE(),"", Data!K192)</f>
        <v/>
      </c>
      <c r="Q193" s="12" t="str">
        <f>IF(Data!L192=FALSE(),"", Data!L192)</f>
        <v/>
      </c>
      <c r="R193" s="12" t="str">
        <f>IF(Data!M192=FALSE(),"", Data!M192)</f>
        <v/>
      </c>
      <c r="S193" s="12" t="str">
        <f>IF(Data!N192=FALSE(),"", Data!N192)</f>
        <v/>
      </c>
    </row>
    <row r="194" spans="1:19" ht="16.5">
      <c r="A194" s="12" t="str">
        <f>Data!A193</f>
        <v>Demo - 40</v>
      </c>
      <c r="B194" s="12" t="str">
        <f>Data!B193</f>
        <v>Vehicle, Company Group</v>
      </c>
      <c r="C194" s="12" t="str">
        <f>Data!D193</f>
        <v>b28</v>
      </c>
      <c r="D194" s="13">
        <f>Data!E193</f>
        <v>46068.460781250105</v>
      </c>
      <c r="E194" s="56">
        <f t="shared" si="8"/>
        <v>0</v>
      </c>
      <c r="F194" s="12" t="str">
        <f>Data!F193</f>
        <v>Telematics device fault: Check device installation as the accelerometer was disabled due to excessive data</v>
      </c>
      <c r="G194" s="14" t="str">
        <f>Data!A193&amp;" "&amp;Data!F193</f>
        <v>Demo - 40 Telematics device fault: Check device installation as the accelerometer was disabled due to excessive data</v>
      </c>
      <c r="H194" s="56">
        <f>IF(COUNTIF($G$10:G194,G194)&gt;1,0,1)</f>
        <v>0</v>
      </c>
      <c r="I194" s="12" t="str">
        <f>IF(L194=FALSE,Data!J193," ")</f>
        <v xml:space="preserve"> </v>
      </c>
      <c r="J194" s="15" t="b">
        <f t="shared" si="9"/>
        <v>0</v>
      </c>
      <c r="K194" s="12" t="str">
        <f>Data!H193</f>
        <v>Telematics Device</v>
      </c>
      <c r="L194" s="15" t="b">
        <f t="shared" si="10"/>
        <v>1</v>
      </c>
      <c r="M194" s="14" t="str">
        <f>Data!I193</f>
        <v>Telematics device</v>
      </c>
      <c r="N194" s="15" t="str">
        <f>Data!G193</f>
        <v>265</v>
      </c>
      <c r="O194" s="15" t="b">
        <f t="shared" si="11"/>
        <v>1</v>
      </c>
      <c r="P194" s="12" t="str">
        <f>IF(Data!K193=FALSE(),"", Data!K193)</f>
        <v/>
      </c>
      <c r="Q194" s="12" t="str">
        <f>IF(Data!L193=FALSE(),"", Data!L193)</f>
        <v/>
      </c>
      <c r="R194" s="12" t="str">
        <f>IF(Data!M193=FALSE(),"", Data!M193)</f>
        <v/>
      </c>
      <c r="S194" s="12" t="str">
        <f>IF(Data!N193=FALSE(),"", Data!N193)</f>
        <v/>
      </c>
    </row>
    <row r="195" spans="1:19" ht="16.5">
      <c r="A195" s="12" t="str">
        <f>Data!A194</f>
        <v>Demo - 40</v>
      </c>
      <c r="B195" s="12" t="str">
        <f>Data!B194</f>
        <v>Vehicle, Company Group</v>
      </c>
      <c r="C195" s="12" t="str">
        <f>Data!D194</f>
        <v>b28</v>
      </c>
      <c r="D195" s="13">
        <f>Data!E194</f>
        <v>46068.479346064916</v>
      </c>
      <c r="E195" s="56">
        <f t="shared" si="8"/>
        <v>0</v>
      </c>
      <c r="F195" s="12" t="str">
        <f>Data!F194</f>
        <v>Telematics device fault: Check device installation as the accelerometer was disabled due to excessive data</v>
      </c>
      <c r="G195" s="14" t="str">
        <f>Data!A194&amp;" "&amp;Data!F194</f>
        <v>Demo - 40 Telematics device fault: Check device installation as the accelerometer was disabled due to excessive data</v>
      </c>
      <c r="H195" s="56">
        <f>IF(COUNTIF($G$10:G195,G195)&gt;1,0,1)</f>
        <v>0</v>
      </c>
      <c r="I195" s="12" t="str">
        <f>IF(L195=FALSE,Data!J194," ")</f>
        <v xml:space="preserve"> </v>
      </c>
      <c r="J195" s="15" t="b">
        <f t="shared" si="9"/>
        <v>0</v>
      </c>
      <c r="K195" s="12" t="str">
        <f>Data!H194</f>
        <v>Telematics Device</v>
      </c>
      <c r="L195" s="15" t="b">
        <f t="shared" si="10"/>
        <v>1</v>
      </c>
      <c r="M195" s="14" t="str">
        <f>Data!I194</f>
        <v>Telematics device</v>
      </c>
      <c r="N195" s="15" t="str">
        <f>Data!G194</f>
        <v>265</v>
      </c>
      <c r="O195" s="15" t="b">
        <f t="shared" si="11"/>
        <v>1</v>
      </c>
      <c r="P195" s="12" t="str">
        <f>IF(Data!K194=FALSE(),"", Data!K194)</f>
        <v/>
      </c>
      <c r="Q195" s="12" t="str">
        <f>IF(Data!L194=FALSE(),"", Data!L194)</f>
        <v/>
      </c>
      <c r="R195" s="12" t="str">
        <f>IF(Data!M194=FALSE(),"", Data!M194)</f>
        <v/>
      </c>
      <c r="S195" s="12" t="str">
        <f>IF(Data!N194=FALSE(),"", Data!N194)</f>
        <v/>
      </c>
    </row>
    <row r="196" spans="1:19" ht="16.5">
      <c r="A196" s="12" t="str">
        <f>Data!A195</f>
        <v>Demo - 40</v>
      </c>
      <c r="B196" s="12" t="str">
        <f>Data!B195</f>
        <v>Vehicle, Company Group</v>
      </c>
      <c r="C196" s="12" t="str">
        <f>Data!D195</f>
        <v>b28</v>
      </c>
      <c r="D196" s="13">
        <f>Data!E195</f>
        <v>46068.492309027883</v>
      </c>
      <c r="E196" s="56">
        <f t="shared" si="8"/>
        <v>0</v>
      </c>
      <c r="F196" s="12" t="str">
        <f>Data!F195</f>
        <v>Telematics device fault: Check device installation as the accelerometer was disabled due to excessive data</v>
      </c>
      <c r="G196" s="14" t="str">
        <f>Data!A195&amp;" "&amp;Data!F195</f>
        <v>Demo - 40 Telematics device fault: Check device installation as the accelerometer was disabled due to excessive data</v>
      </c>
      <c r="H196" s="56">
        <f>IF(COUNTIF($G$10:G196,G196)&gt;1,0,1)</f>
        <v>0</v>
      </c>
      <c r="I196" s="12" t="str">
        <f>IF(L196=FALSE,Data!J195," ")</f>
        <v xml:space="preserve"> </v>
      </c>
      <c r="J196" s="15" t="b">
        <f t="shared" si="9"/>
        <v>0</v>
      </c>
      <c r="K196" s="12" t="str">
        <f>Data!H195</f>
        <v>Telematics Device</v>
      </c>
      <c r="L196" s="15" t="b">
        <f t="shared" si="10"/>
        <v>1</v>
      </c>
      <c r="M196" s="14" t="str">
        <f>Data!I195</f>
        <v>Telematics device</v>
      </c>
      <c r="N196" s="15" t="str">
        <f>Data!G195</f>
        <v>265</v>
      </c>
      <c r="O196" s="15" t="b">
        <f t="shared" si="11"/>
        <v>1</v>
      </c>
      <c r="P196" s="12" t="str">
        <f>IF(Data!K195=FALSE(),"", Data!K195)</f>
        <v/>
      </c>
      <c r="Q196" s="12" t="str">
        <f>IF(Data!L195=FALSE(),"", Data!L195)</f>
        <v/>
      </c>
      <c r="R196" s="12" t="str">
        <f>IF(Data!M195=FALSE(),"", Data!M195)</f>
        <v/>
      </c>
      <c r="S196" s="12" t="str">
        <f>IF(Data!N195=FALSE(),"", Data!N195)</f>
        <v/>
      </c>
    </row>
    <row r="197" spans="1:19" ht="16.5">
      <c r="A197" s="12" t="str">
        <f>Data!A196</f>
        <v>Demo - 40</v>
      </c>
      <c r="B197" s="12" t="str">
        <f>Data!B196</f>
        <v>Vehicle, Company Group</v>
      </c>
      <c r="C197" s="12" t="str">
        <f>Data!D196</f>
        <v>b28</v>
      </c>
      <c r="D197" s="13">
        <f>Data!E196</f>
        <v>46068.519612268617</v>
      </c>
      <c r="E197" s="56">
        <f t="shared" si="8"/>
        <v>0</v>
      </c>
      <c r="F197" s="12" t="str">
        <f>Data!F196</f>
        <v>Telematics device fault: Check device installation as the accelerometer was disabled due to excessive data</v>
      </c>
      <c r="G197" s="14" t="str">
        <f>Data!A196&amp;" "&amp;Data!F196</f>
        <v>Demo - 40 Telematics device fault: Check device installation as the accelerometer was disabled due to excessive data</v>
      </c>
      <c r="H197" s="56">
        <f>IF(COUNTIF($G$10:G197,G197)&gt;1,0,1)</f>
        <v>0</v>
      </c>
      <c r="I197" s="12" t="str">
        <f>IF(L197=FALSE,Data!J196," ")</f>
        <v xml:space="preserve"> </v>
      </c>
      <c r="J197" s="15" t="b">
        <f t="shared" si="9"/>
        <v>0</v>
      </c>
      <c r="K197" s="12" t="str">
        <f>Data!H196</f>
        <v>Telematics Device</v>
      </c>
      <c r="L197" s="15" t="b">
        <f t="shared" si="10"/>
        <v>1</v>
      </c>
      <c r="M197" s="14" t="str">
        <f>Data!I196</f>
        <v>Telematics device</v>
      </c>
      <c r="N197" s="15" t="str">
        <f>Data!G196</f>
        <v>265</v>
      </c>
      <c r="O197" s="15" t="b">
        <f t="shared" si="11"/>
        <v>1</v>
      </c>
      <c r="P197" s="12" t="str">
        <f>IF(Data!K196=FALSE(),"", Data!K196)</f>
        <v/>
      </c>
      <c r="Q197" s="12" t="str">
        <f>IF(Data!L196=FALSE(),"", Data!L196)</f>
        <v/>
      </c>
      <c r="R197" s="12" t="str">
        <f>IF(Data!M196=FALSE(),"", Data!M196)</f>
        <v/>
      </c>
      <c r="S197" s="12" t="str">
        <f>IF(Data!N196=FALSE(),"", Data!N196)</f>
        <v/>
      </c>
    </row>
    <row r="198" spans="1:19" ht="16.5">
      <c r="A198" s="12" t="str">
        <f>Data!A197</f>
        <v>Demo - 40</v>
      </c>
      <c r="B198" s="12" t="str">
        <f>Data!B197</f>
        <v>Vehicle, Company Group</v>
      </c>
      <c r="C198" s="12" t="str">
        <f>Data!D197</f>
        <v>b28</v>
      </c>
      <c r="D198" s="13">
        <f>Data!E197</f>
        <v>46068.574288194548</v>
      </c>
      <c r="E198" s="56">
        <f t="shared" si="8"/>
        <v>0</v>
      </c>
      <c r="F198" s="12" t="str">
        <f>Data!F197</f>
        <v>Telematics device fault: Check device installation as the accelerometer was disabled due to excessive data</v>
      </c>
      <c r="G198" s="14" t="str">
        <f>Data!A197&amp;" "&amp;Data!F197</f>
        <v>Demo - 40 Telematics device fault: Check device installation as the accelerometer was disabled due to excessive data</v>
      </c>
      <c r="H198" s="56">
        <f>IF(COUNTIF($G$10:G198,G198)&gt;1,0,1)</f>
        <v>0</v>
      </c>
      <c r="I198" s="12" t="str">
        <f>IF(L198=FALSE,Data!J197," ")</f>
        <v xml:space="preserve"> </v>
      </c>
      <c r="J198" s="15" t="b">
        <f t="shared" si="9"/>
        <v>0</v>
      </c>
      <c r="K198" s="12" t="str">
        <f>Data!H197</f>
        <v>Telematics Device</v>
      </c>
      <c r="L198" s="15" t="b">
        <f t="shared" si="10"/>
        <v>1</v>
      </c>
      <c r="M198" s="14" t="str">
        <f>Data!I197</f>
        <v>Telematics device</v>
      </c>
      <c r="N198" s="15" t="str">
        <f>Data!G197</f>
        <v>265</v>
      </c>
      <c r="O198" s="15" t="b">
        <f t="shared" si="11"/>
        <v>1</v>
      </c>
      <c r="P198" s="12" t="str">
        <f>IF(Data!K197=FALSE(),"", Data!K197)</f>
        <v/>
      </c>
      <c r="Q198" s="12" t="str">
        <f>IF(Data!L197=FALSE(),"", Data!L197)</f>
        <v/>
      </c>
      <c r="R198" s="12" t="str">
        <f>IF(Data!M197=FALSE(),"", Data!M197)</f>
        <v/>
      </c>
      <c r="S198" s="12" t="str">
        <f>IF(Data!N197=FALSE(),"", Data!N197)</f>
        <v/>
      </c>
    </row>
    <row r="199" spans="1:19" ht="16.5">
      <c r="A199" s="12" t="str">
        <f>Data!A198</f>
        <v>Demo - 40</v>
      </c>
      <c r="B199" s="12" t="str">
        <f>Data!B198</f>
        <v>Vehicle, Company Group</v>
      </c>
      <c r="C199" s="12" t="str">
        <f>Data!D198</f>
        <v>b28</v>
      </c>
      <c r="D199" s="13">
        <f>Data!E198</f>
        <v>46068.604334490839</v>
      </c>
      <c r="E199" s="56">
        <f t="shared" si="8"/>
        <v>0</v>
      </c>
      <c r="F199" s="12" t="str">
        <f>Data!F198</f>
        <v>Telematics device fault: Check device installation as the accelerometer was disabled due to excessive data</v>
      </c>
      <c r="G199" s="14" t="str">
        <f>Data!A198&amp;" "&amp;Data!F198</f>
        <v>Demo - 40 Telematics device fault: Check device installation as the accelerometer was disabled due to excessive data</v>
      </c>
      <c r="H199" s="56">
        <f>IF(COUNTIF($G$10:G199,G199)&gt;1,0,1)</f>
        <v>0</v>
      </c>
      <c r="I199" s="12" t="str">
        <f>IF(L199=FALSE,Data!J198," ")</f>
        <v xml:space="preserve"> </v>
      </c>
      <c r="J199" s="15" t="b">
        <f t="shared" si="9"/>
        <v>0</v>
      </c>
      <c r="K199" s="12" t="str">
        <f>Data!H198</f>
        <v>Telematics Device</v>
      </c>
      <c r="L199" s="15" t="b">
        <f t="shared" si="10"/>
        <v>1</v>
      </c>
      <c r="M199" s="14" t="str">
        <f>Data!I198</f>
        <v>Telematics device</v>
      </c>
      <c r="N199" s="15" t="str">
        <f>Data!G198</f>
        <v>265</v>
      </c>
      <c r="O199" s="15" t="b">
        <f t="shared" si="11"/>
        <v>1</v>
      </c>
      <c r="P199" s="12" t="str">
        <f>IF(Data!K198=FALSE(),"", Data!K198)</f>
        <v/>
      </c>
      <c r="Q199" s="12" t="str">
        <f>IF(Data!L198=FALSE(),"", Data!L198)</f>
        <v/>
      </c>
      <c r="R199" s="12" t="str">
        <f>IF(Data!M198=FALSE(),"", Data!M198)</f>
        <v/>
      </c>
      <c r="S199" s="12" t="str">
        <f>IF(Data!N198=FALSE(),"", Data!N198)</f>
        <v/>
      </c>
    </row>
    <row r="200" spans="1:19" ht="16.5">
      <c r="A200" s="12" t="str">
        <f>Data!A199</f>
        <v>Demo - 40</v>
      </c>
      <c r="B200" s="12" t="str">
        <f>Data!B199</f>
        <v>Vehicle, Company Group</v>
      </c>
      <c r="C200" s="12" t="str">
        <f>Data!D199</f>
        <v>b28</v>
      </c>
      <c r="D200" s="13">
        <f>Data!E199</f>
        <v>46070.362737268617</v>
      </c>
      <c r="E200" s="56">
        <f t="shared" si="8"/>
        <v>0</v>
      </c>
      <c r="F200" s="12" t="str">
        <f>Data!F199</f>
        <v>Telematics device fault: Check device installation as the accelerometer was disabled due to excessive data</v>
      </c>
      <c r="G200" s="14" t="str">
        <f>Data!A199&amp;" "&amp;Data!F199</f>
        <v>Demo - 40 Telematics device fault: Check device installation as the accelerometer was disabled due to excessive data</v>
      </c>
      <c r="H200" s="56">
        <f>IF(COUNTIF($G$10:G200,G200)&gt;1,0,1)</f>
        <v>0</v>
      </c>
      <c r="I200" s="12" t="str">
        <f>IF(L200=FALSE,Data!J199," ")</f>
        <v xml:space="preserve"> </v>
      </c>
      <c r="J200" s="15" t="b">
        <f t="shared" si="9"/>
        <v>0</v>
      </c>
      <c r="K200" s="12" t="str">
        <f>Data!H199</f>
        <v>Telematics Device</v>
      </c>
      <c r="L200" s="15" t="b">
        <f t="shared" si="10"/>
        <v>1</v>
      </c>
      <c r="M200" s="14" t="str">
        <f>Data!I199</f>
        <v>Telematics device</v>
      </c>
      <c r="N200" s="15" t="str">
        <f>Data!G199</f>
        <v>265</v>
      </c>
      <c r="O200" s="15" t="b">
        <f t="shared" si="11"/>
        <v>1</v>
      </c>
      <c r="P200" s="12" t="str">
        <f>IF(Data!K199=FALSE(),"", Data!K199)</f>
        <v/>
      </c>
      <c r="Q200" s="12" t="str">
        <f>IF(Data!L199=FALSE(),"", Data!L199)</f>
        <v/>
      </c>
      <c r="R200" s="12" t="str">
        <f>IF(Data!M199=FALSE(),"", Data!M199)</f>
        <v/>
      </c>
      <c r="S200" s="12" t="str">
        <f>IF(Data!N199=FALSE(),"", Data!N199)</f>
        <v/>
      </c>
    </row>
    <row r="201" spans="1:19" ht="16.5">
      <c r="A201" s="12" t="str">
        <f>Data!A200</f>
        <v>Demo - 40</v>
      </c>
      <c r="B201" s="12" t="str">
        <f>Data!B200</f>
        <v>Vehicle, Company Group</v>
      </c>
      <c r="C201" s="12" t="str">
        <f>Data!D200</f>
        <v>b28</v>
      </c>
      <c r="D201" s="13">
        <f>Data!E200</f>
        <v>46070.394681713064</v>
      </c>
      <c r="E201" s="56">
        <f t="shared" si="8"/>
        <v>0</v>
      </c>
      <c r="F201" s="12" t="str">
        <f>Data!F200</f>
        <v>Telematics device fault: Check device installation as the accelerometer was disabled due to excessive data</v>
      </c>
      <c r="G201" s="14" t="str">
        <f>Data!A200&amp;" "&amp;Data!F200</f>
        <v>Demo - 40 Telematics device fault: Check device installation as the accelerometer was disabled due to excessive data</v>
      </c>
      <c r="H201" s="56">
        <f>IF(COUNTIF($G$10:G201,G201)&gt;1,0,1)</f>
        <v>0</v>
      </c>
      <c r="I201" s="12" t="str">
        <f>IF(L201=FALSE,Data!J200," ")</f>
        <v xml:space="preserve"> </v>
      </c>
      <c r="J201" s="15" t="b">
        <f t="shared" si="9"/>
        <v>0</v>
      </c>
      <c r="K201" s="12" t="str">
        <f>Data!H200</f>
        <v>Telematics Device</v>
      </c>
      <c r="L201" s="15" t="b">
        <f t="shared" si="10"/>
        <v>1</v>
      </c>
      <c r="M201" s="14" t="str">
        <f>Data!I200</f>
        <v>Telematics device</v>
      </c>
      <c r="N201" s="15" t="str">
        <f>Data!G200</f>
        <v>265</v>
      </c>
      <c r="O201" s="15" t="b">
        <f t="shared" si="11"/>
        <v>1</v>
      </c>
      <c r="P201" s="12" t="str">
        <f>IF(Data!K200=FALSE(),"", Data!K200)</f>
        <v/>
      </c>
      <c r="Q201" s="12" t="str">
        <f>IF(Data!L200=FALSE(),"", Data!L200)</f>
        <v/>
      </c>
      <c r="R201" s="12" t="str">
        <f>IF(Data!M200=FALSE(),"", Data!M200)</f>
        <v/>
      </c>
      <c r="S201" s="12" t="str">
        <f>IF(Data!N200=FALSE(),"", Data!N200)</f>
        <v/>
      </c>
    </row>
    <row r="202" spans="1:19" ht="16.5">
      <c r="A202" s="12" t="str">
        <f>Data!A201</f>
        <v>Demo - 40</v>
      </c>
      <c r="B202" s="12" t="str">
        <f>Data!B201</f>
        <v>Vehicle, Company Group</v>
      </c>
      <c r="C202" s="12" t="str">
        <f>Data!D201</f>
        <v>b28</v>
      </c>
      <c r="D202" s="13">
        <f>Data!E201</f>
        <v>46070.427667824173</v>
      </c>
      <c r="E202" s="56">
        <f t="shared" ref="E202:E265" si="12">IF(L202=FALSE,1,0)</f>
        <v>0</v>
      </c>
      <c r="F202" s="12" t="str">
        <f>Data!F201</f>
        <v>Telematics device fault: Check device installation as the accelerometer was disabled due to excessive data</v>
      </c>
      <c r="G202" s="14" t="str">
        <f>Data!A201&amp;" "&amp;Data!F201</f>
        <v>Demo - 40 Telematics device fault: Check device installation as the accelerometer was disabled due to excessive data</v>
      </c>
      <c r="H202" s="56">
        <f>IF(COUNTIF($G$10:G202,G202)&gt;1,0,1)</f>
        <v>0</v>
      </c>
      <c r="I202" s="12" t="str">
        <f>IF(L202=FALSE,Data!J201," ")</f>
        <v xml:space="preserve"> </v>
      </c>
      <c r="J202" s="15" t="b">
        <f t="shared" ref="J202:J265" si="13">ISNUMBER(SEARCH("active",I202))</f>
        <v>0</v>
      </c>
      <c r="K202" s="12" t="str">
        <f>Data!H201</f>
        <v>Telematics Device</v>
      </c>
      <c r="L202" s="15" t="b">
        <f t="shared" ref="L202:L265" si="14">OR(ISNUMBER(SEARCH("telematics",M202)),ISNUMBER(SEARCH("device",M202)))</f>
        <v>1</v>
      </c>
      <c r="M202" s="14" t="str">
        <f>Data!I201</f>
        <v>Telematics device</v>
      </c>
      <c r="N202" s="15" t="str">
        <f>Data!G201</f>
        <v>265</v>
      </c>
      <c r="O202" s="15" t="b">
        <f t="shared" ref="O202:O265" si="15">IF(ISBLANK(A202)=TRUE,FALSE,TRUE)</f>
        <v>1</v>
      </c>
      <c r="P202" s="12" t="str">
        <f>IF(Data!K201=FALSE(),"", Data!K201)</f>
        <v/>
      </c>
      <c r="Q202" s="12" t="str">
        <f>IF(Data!L201=FALSE(),"", Data!L201)</f>
        <v/>
      </c>
      <c r="R202" s="12" t="str">
        <f>IF(Data!M201=FALSE(),"", Data!M201)</f>
        <v/>
      </c>
      <c r="S202" s="12" t="str">
        <f>IF(Data!N201=FALSE(),"", Data!N201)</f>
        <v/>
      </c>
    </row>
    <row r="203" spans="1:19" ht="16.5">
      <c r="A203" s="12" t="str">
        <f>Data!A202</f>
        <v>Demo - 40</v>
      </c>
      <c r="B203" s="12" t="str">
        <f>Data!B202</f>
        <v>Vehicle, Company Group</v>
      </c>
      <c r="C203" s="12" t="str">
        <f>Data!D202</f>
        <v>b28</v>
      </c>
      <c r="D203" s="13">
        <f>Data!E202</f>
        <v>46070.45346643529</v>
      </c>
      <c r="E203" s="56">
        <f t="shared" si="12"/>
        <v>0</v>
      </c>
      <c r="F203" s="12" t="str">
        <f>Data!F202</f>
        <v>Telematics device fault: Check device installation as the accelerometer was disabled due to excessive data</v>
      </c>
      <c r="G203" s="14" t="str">
        <f>Data!A202&amp;" "&amp;Data!F202</f>
        <v>Demo - 40 Telematics device fault: Check device installation as the accelerometer was disabled due to excessive data</v>
      </c>
      <c r="H203" s="56">
        <f>IF(COUNTIF($G$10:G203,G203)&gt;1,0,1)</f>
        <v>0</v>
      </c>
      <c r="I203" s="12" t="str">
        <f>IF(L203=FALSE,Data!J202," ")</f>
        <v xml:space="preserve"> </v>
      </c>
      <c r="J203" s="15" t="b">
        <f t="shared" si="13"/>
        <v>0</v>
      </c>
      <c r="K203" s="12" t="str">
        <f>Data!H202</f>
        <v>Telematics Device</v>
      </c>
      <c r="L203" s="15" t="b">
        <f t="shared" si="14"/>
        <v>1</v>
      </c>
      <c r="M203" s="14" t="str">
        <f>Data!I202</f>
        <v>Telematics device</v>
      </c>
      <c r="N203" s="15" t="str">
        <f>Data!G202</f>
        <v>265</v>
      </c>
      <c r="O203" s="15" t="b">
        <f t="shared" si="15"/>
        <v>1</v>
      </c>
      <c r="P203" s="12" t="str">
        <f>IF(Data!K202=FALSE(),"", Data!K202)</f>
        <v/>
      </c>
      <c r="Q203" s="12" t="str">
        <f>IF(Data!L202=FALSE(),"", Data!L202)</f>
        <v/>
      </c>
      <c r="R203" s="12" t="str">
        <f>IF(Data!M202=FALSE(),"", Data!M202)</f>
        <v/>
      </c>
      <c r="S203" s="12" t="str">
        <f>IF(Data!N202=FALSE(),"", Data!N202)</f>
        <v/>
      </c>
    </row>
    <row r="204" spans="1:19" ht="16.5">
      <c r="A204" s="12" t="str">
        <f>Data!A203</f>
        <v>Demo - 40</v>
      </c>
      <c r="B204" s="12" t="str">
        <f>Data!B203</f>
        <v>Vehicle, Company Group</v>
      </c>
      <c r="C204" s="12" t="str">
        <f>Data!D203</f>
        <v>b28</v>
      </c>
      <c r="D204" s="13">
        <f>Data!E203</f>
        <v>46070.466857638989</v>
      </c>
      <c r="E204" s="56">
        <f t="shared" si="12"/>
        <v>0</v>
      </c>
      <c r="F204" s="12" t="str">
        <f>Data!F203</f>
        <v>Telematics device fault: Check device installation as the accelerometer was disabled due to excessive data</v>
      </c>
      <c r="G204" s="14" t="str">
        <f>Data!A203&amp;" "&amp;Data!F203</f>
        <v>Demo - 40 Telematics device fault: Check device installation as the accelerometer was disabled due to excessive data</v>
      </c>
      <c r="H204" s="56">
        <f>IF(COUNTIF($G$10:G204,G204)&gt;1,0,1)</f>
        <v>0</v>
      </c>
      <c r="I204" s="12" t="str">
        <f>IF(L204=FALSE,Data!J203," ")</f>
        <v xml:space="preserve"> </v>
      </c>
      <c r="J204" s="15" t="b">
        <f t="shared" si="13"/>
        <v>0</v>
      </c>
      <c r="K204" s="12" t="str">
        <f>Data!H203</f>
        <v>Telematics Device</v>
      </c>
      <c r="L204" s="15" t="b">
        <f t="shared" si="14"/>
        <v>1</v>
      </c>
      <c r="M204" s="14" t="str">
        <f>Data!I203</f>
        <v>Telematics device</v>
      </c>
      <c r="N204" s="15" t="str">
        <f>Data!G203</f>
        <v>265</v>
      </c>
      <c r="O204" s="15" t="b">
        <f t="shared" si="15"/>
        <v>1</v>
      </c>
      <c r="P204" s="12" t="str">
        <f>IF(Data!K203=FALSE(),"", Data!K203)</f>
        <v/>
      </c>
      <c r="Q204" s="12" t="str">
        <f>IF(Data!L203=FALSE(),"", Data!L203)</f>
        <v/>
      </c>
      <c r="R204" s="12" t="str">
        <f>IF(Data!M203=FALSE(),"", Data!M203)</f>
        <v/>
      </c>
      <c r="S204" s="12" t="str">
        <f>IF(Data!N203=FALSE(),"", Data!N203)</f>
        <v/>
      </c>
    </row>
    <row r="205" spans="1:19" ht="16.5">
      <c r="A205" s="12" t="str">
        <f>Data!A204</f>
        <v>Demo - 40</v>
      </c>
      <c r="B205" s="12" t="str">
        <f>Data!B204</f>
        <v>Vehicle, Company Group</v>
      </c>
      <c r="C205" s="12" t="str">
        <f>Data!D204</f>
        <v>b28</v>
      </c>
      <c r="D205" s="13">
        <f>Data!E204</f>
        <v>46070.515364583436</v>
      </c>
      <c r="E205" s="56">
        <f t="shared" si="12"/>
        <v>0</v>
      </c>
      <c r="F205" s="12" t="str">
        <f>Data!F204</f>
        <v>Telematics device fault: Check device installation as the accelerometer was disabled due to excessive data</v>
      </c>
      <c r="G205" s="14" t="str">
        <f>Data!A204&amp;" "&amp;Data!F204</f>
        <v>Demo - 40 Telematics device fault: Check device installation as the accelerometer was disabled due to excessive data</v>
      </c>
      <c r="H205" s="56">
        <f>IF(COUNTIF($G$10:G205,G205)&gt;1,0,1)</f>
        <v>0</v>
      </c>
      <c r="I205" s="12" t="str">
        <f>IF(L205=FALSE,Data!J204," ")</f>
        <v xml:space="preserve"> </v>
      </c>
      <c r="J205" s="15" t="b">
        <f t="shared" si="13"/>
        <v>0</v>
      </c>
      <c r="K205" s="12" t="str">
        <f>Data!H204</f>
        <v>Telematics Device</v>
      </c>
      <c r="L205" s="15" t="b">
        <f t="shared" si="14"/>
        <v>1</v>
      </c>
      <c r="M205" s="14" t="str">
        <f>Data!I204</f>
        <v>Telematics device</v>
      </c>
      <c r="N205" s="15" t="str">
        <f>Data!G204</f>
        <v>265</v>
      </c>
      <c r="O205" s="15" t="b">
        <f t="shared" si="15"/>
        <v>1</v>
      </c>
      <c r="P205" s="12" t="str">
        <f>IF(Data!K204=FALSE(),"", Data!K204)</f>
        <v/>
      </c>
      <c r="Q205" s="12" t="str">
        <f>IF(Data!L204=FALSE(),"", Data!L204)</f>
        <v/>
      </c>
      <c r="R205" s="12" t="str">
        <f>IF(Data!M204=FALSE(),"", Data!M204)</f>
        <v/>
      </c>
      <c r="S205" s="12" t="str">
        <f>IF(Data!N204=FALSE(),"", Data!N204)</f>
        <v/>
      </c>
    </row>
    <row r="206" spans="1:19" ht="16.5">
      <c r="A206" s="12" t="str">
        <f>Data!A205</f>
        <v>Demo - 40</v>
      </c>
      <c r="B206" s="12" t="str">
        <f>Data!B205</f>
        <v>Vehicle, Company Group</v>
      </c>
      <c r="C206" s="12" t="str">
        <f>Data!D205</f>
        <v>b28</v>
      </c>
      <c r="D206" s="13">
        <f>Data!E205</f>
        <v>46070.528478009364</v>
      </c>
      <c r="E206" s="56">
        <f t="shared" si="12"/>
        <v>0</v>
      </c>
      <c r="F206" s="12" t="str">
        <f>Data!F205</f>
        <v>Telematics device fault: Check device installation as the accelerometer was disabled due to excessive data</v>
      </c>
      <c r="G206" s="14" t="str">
        <f>Data!A205&amp;" "&amp;Data!F205</f>
        <v>Demo - 40 Telematics device fault: Check device installation as the accelerometer was disabled due to excessive data</v>
      </c>
      <c r="H206" s="56">
        <f>IF(COUNTIF($G$10:G206,G206)&gt;1,0,1)</f>
        <v>0</v>
      </c>
      <c r="I206" s="12" t="str">
        <f>IF(L206=FALSE,Data!J205," ")</f>
        <v xml:space="preserve"> </v>
      </c>
      <c r="J206" s="15" t="b">
        <f t="shared" si="13"/>
        <v>0</v>
      </c>
      <c r="K206" s="12" t="str">
        <f>Data!H205</f>
        <v>Telematics Device</v>
      </c>
      <c r="L206" s="15" t="b">
        <f t="shared" si="14"/>
        <v>1</v>
      </c>
      <c r="M206" s="14" t="str">
        <f>Data!I205</f>
        <v>Telematics device</v>
      </c>
      <c r="N206" s="15" t="str">
        <f>Data!G205</f>
        <v>265</v>
      </c>
      <c r="O206" s="15" t="b">
        <f t="shared" si="15"/>
        <v>1</v>
      </c>
      <c r="P206" s="12" t="str">
        <f>IF(Data!K205=FALSE(),"", Data!K205)</f>
        <v/>
      </c>
      <c r="Q206" s="12" t="str">
        <f>IF(Data!L205=FALSE(),"", Data!L205)</f>
        <v/>
      </c>
      <c r="R206" s="12" t="str">
        <f>IF(Data!M205=FALSE(),"", Data!M205)</f>
        <v/>
      </c>
      <c r="S206" s="12" t="str">
        <f>IF(Data!N205=FALSE(),"", Data!N205)</f>
        <v/>
      </c>
    </row>
    <row r="207" spans="1:19" ht="16.5">
      <c r="A207" s="12" t="str">
        <f>Data!A206</f>
        <v>Demo - 40</v>
      </c>
      <c r="B207" s="12" t="str">
        <f>Data!B206</f>
        <v>Vehicle, Company Group</v>
      </c>
      <c r="C207" s="12" t="str">
        <f>Data!D206</f>
        <v>b28</v>
      </c>
      <c r="D207" s="13">
        <f>Data!E206</f>
        <v>46070.559901620472</v>
      </c>
      <c r="E207" s="56">
        <f t="shared" si="12"/>
        <v>0</v>
      </c>
      <c r="F207" s="12" t="str">
        <f>Data!F206</f>
        <v>Telematics device fault: Check device installation as the accelerometer was disabled due to excessive data</v>
      </c>
      <c r="G207" s="14" t="str">
        <f>Data!A206&amp;" "&amp;Data!F206</f>
        <v>Demo - 40 Telematics device fault: Check device installation as the accelerometer was disabled due to excessive data</v>
      </c>
      <c r="H207" s="56">
        <f>IF(COUNTIF($G$10:G207,G207)&gt;1,0,1)</f>
        <v>0</v>
      </c>
      <c r="I207" s="12" t="str">
        <f>IF(L207=FALSE,Data!J206," ")</f>
        <v xml:space="preserve"> </v>
      </c>
      <c r="J207" s="15" t="b">
        <f t="shared" si="13"/>
        <v>0</v>
      </c>
      <c r="K207" s="12" t="str">
        <f>Data!H206</f>
        <v>Telematics Device</v>
      </c>
      <c r="L207" s="15" t="b">
        <f t="shared" si="14"/>
        <v>1</v>
      </c>
      <c r="M207" s="14" t="str">
        <f>Data!I206</f>
        <v>Telematics device</v>
      </c>
      <c r="N207" s="15" t="str">
        <f>Data!G206</f>
        <v>265</v>
      </c>
      <c r="O207" s="15" t="b">
        <f t="shared" si="15"/>
        <v>1</v>
      </c>
      <c r="P207" s="12" t="str">
        <f>IF(Data!K206=FALSE(),"", Data!K206)</f>
        <v/>
      </c>
      <c r="Q207" s="12" t="str">
        <f>IF(Data!L206=FALSE(),"", Data!L206)</f>
        <v/>
      </c>
      <c r="R207" s="12" t="str">
        <f>IF(Data!M206=FALSE(),"", Data!M206)</f>
        <v/>
      </c>
      <c r="S207" s="12" t="str">
        <f>IF(Data!N206=FALSE(),"", Data!N206)</f>
        <v/>
      </c>
    </row>
    <row r="208" spans="1:19" ht="16.5">
      <c r="A208" s="12" t="str">
        <f>Data!A207</f>
        <v>Demo - 40</v>
      </c>
      <c r="B208" s="12" t="str">
        <f>Data!B207</f>
        <v>Vehicle, Company Group</v>
      </c>
      <c r="C208" s="12" t="str">
        <f>Data!D207</f>
        <v>b28</v>
      </c>
      <c r="D208" s="13">
        <f>Data!E207</f>
        <v>46070.579994213062</v>
      </c>
      <c r="E208" s="56">
        <f t="shared" si="12"/>
        <v>0</v>
      </c>
      <c r="F208" s="12" t="str">
        <f>Data!F207</f>
        <v>Telematics device fault: Check device installation as the accelerometer was disabled due to excessive data</v>
      </c>
      <c r="G208" s="14" t="str">
        <f>Data!A207&amp;" "&amp;Data!F207</f>
        <v>Demo - 40 Telematics device fault: Check device installation as the accelerometer was disabled due to excessive data</v>
      </c>
      <c r="H208" s="56">
        <f>IF(COUNTIF($G$10:G208,G208)&gt;1,0,1)</f>
        <v>0</v>
      </c>
      <c r="I208" s="12" t="str">
        <f>IF(L208=FALSE,Data!J207," ")</f>
        <v xml:space="preserve"> </v>
      </c>
      <c r="J208" s="15" t="b">
        <f t="shared" si="13"/>
        <v>0</v>
      </c>
      <c r="K208" s="12" t="str">
        <f>Data!H207</f>
        <v>Telematics Device</v>
      </c>
      <c r="L208" s="15" t="b">
        <f t="shared" si="14"/>
        <v>1</v>
      </c>
      <c r="M208" s="14" t="str">
        <f>Data!I207</f>
        <v>Telematics device</v>
      </c>
      <c r="N208" s="15" t="str">
        <f>Data!G207</f>
        <v>265</v>
      </c>
      <c r="O208" s="15" t="b">
        <f t="shared" si="15"/>
        <v>1</v>
      </c>
      <c r="P208" s="12" t="str">
        <f>IF(Data!K207=FALSE(),"", Data!K207)</f>
        <v/>
      </c>
      <c r="Q208" s="12" t="str">
        <f>IF(Data!L207=FALSE(),"", Data!L207)</f>
        <v/>
      </c>
      <c r="R208" s="12" t="str">
        <f>IF(Data!M207=FALSE(),"", Data!M207)</f>
        <v/>
      </c>
      <c r="S208" s="12" t="str">
        <f>IF(Data!N207=FALSE(),"", Data!N207)</f>
        <v/>
      </c>
    </row>
    <row r="209" spans="1:19" ht="16.5">
      <c r="A209" s="12" t="str">
        <f>Data!A208</f>
        <v>Demo - 40</v>
      </c>
      <c r="B209" s="12" t="str">
        <f>Data!B208</f>
        <v>Vehicle, Company Group</v>
      </c>
      <c r="C209" s="12" t="str">
        <f>Data!D208</f>
        <v>b28</v>
      </c>
      <c r="D209" s="13">
        <f>Data!E208</f>
        <v>46070.636059027878</v>
      </c>
      <c r="E209" s="56">
        <f t="shared" si="12"/>
        <v>0</v>
      </c>
      <c r="F209" s="12" t="str">
        <f>Data!F208</f>
        <v>Telematics device fault: Check device installation as the accelerometer was disabled due to excessive data</v>
      </c>
      <c r="G209" s="14" t="str">
        <f>Data!A208&amp;" "&amp;Data!F208</f>
        <v>Demo - 40 Telematics device fault: Check device installation as the accelerometer was disabled due to excessive data</v>
      </c>
      <c r="H209" s="56">
        <f>IF(COUNTIF($G$10:G209,G209)&gt;1,0,1)</f>
        <v>0</v>
      </c>
      <c r="I209" s="12" t="str">
        <f>IF(L209=FALSE,Data!J208," ")</f>
        <v xml:space="preserve"> </v>
      </c>
      <c r="J209" s="15" t="b">
        <f t="shared" si="13"/>
        <v>0</v>
      </c>
      <c r="K209" s="12" t="str">
        <f>Data!H208</f>
        <v>Telematics Device</v>
      </c>
      <c r="L209" s="15" t="b">
        <f t="shared" si="14"/>
        <v>1</v>
      </c>
      <c r="M209" s="14" t="str">
        <f>Data!I208</f>
        <v>Telematics device</v>
      </c>
      <c r="N209" s="15" t="str">
        <f>Data!G208</f>
        <v>265</v>
      </c>
      <c r="O209" s="15" t="b">
        <f t="shared" si="15"/>
        <v>1</v>
      </c>
      <c r="P209" s="12" t="str">
        <f>IF(Data!K208=FALSE(),"", Data!K208)</f>
        <v/>
      </c>
      <c r="Q209" s="12" t="str">
        <f>IF(Data!L208=FALSE(),"", Data!L208)</f>
        <v/>
      </c>
      <c r="R209" s="12" t="str">
        <f>IF(Data!M208=FALSE(),"", Data!M208)</f>
        <v/>
      </c>
      <c r="S209" s="12" t="str">
        <f>IF(Data!N208=FALSE(),"", Data!N208)</f>
        <v/>
      </c>
    </row>
    <row r="210" spans="1:19" ht="16.5">
      <c r="A210" s="12" t="str">
        <f>Data!A209</f>
        <v>Demo - 40</v>
      </c>
      <c r="B210" s="12" t="str">
        <f>Data!B209</f>
        <v>Vehicle, Company Group</v>
      </c>
      <c r="C210" s="12" t="str">
        <f>Data!D209</f>
        <v>b28</v>
      </c>
      <c r="D210" s="13">
        <f>Data!E209</f>
        <v>46070.656545138991</v>
      </c>
      <c r="E210" s="56">
        <f t="shared" si="12"/>
        <v>0</v>
      </c>
      <c r="F210" s="12" t="str">
        <f>Data!F209</f>
        <v>Alert: Collision limit for acceleration exceeded</v>
      </c>
      <c r="G210" s="14" t="str">
        <f>Data!A209&amp;" "&amp;Data!F209</f>
        <v>Demo - 40 Alert: Collision limit for acceleration exceeded</v>
      </c>
      <c r="H210" s="56">
        <f>IF(COUNTIF($G$10:G210,G210)&gt;1,0,1)</f>
        <v>1</v>
      </c>
      <c r="I210" s="12" t="str">
        <f>IF(L210=FALSE,Data!J209," ")</f>
        <v xml:space="preserve"> </v>
      </c>
      <c r="J210" s="15" t="b">
        <f t="shared" si="13"/>
        <v>0</v>
      </c>
      <c r="K210" s="12" t="str">
        <f>Data!H209</f>
        <v>Telematics Device</v>
      </c>
      <c r="L210" s="15" t="b">
        <f t="shared" si="14"/>
        <v>1</v>
      </c>
      <c r="M210" s="14" t="str">
        <f>Data!I209</f>
        <v>Telematics device</v>
      </c>
      <c r="N210" s="15" t="str">
        <f>Data!G209</f>
        <v>166</v>
      </c>
      <c r="O210" s="15" t="b">
        <f t="shared" si="15"/>
        <v>1</v>
      </c>
      <c r="P210" s="12" t="str">
        <f>IF(Data!K209=FALSE(),"", Data!K209)</f>
        <v/>
      </c>
      <c r="Q210" s="12" t="str">
        <f>IF(Data!L209=FALSE(),"", Data!L209)</f>
        <v/>
      </c>
      <c r="R210" s="12" t="str">
        <f>IF(Data!M209=FALSE(),"", Data!M209)</f>
        <v/>
      </c>
      <c r="S210" s="12" t="str">
        <f>IF(Data!N209=FALSE(),"", Data!N209)</f>
        <v/>
      </c>
    </row>
    <row r="211" spans="1:19" ht="16.5">
      <c r="A211" s="12" t="str">
        <f>Data!A210</f>
        <v>Demo - 40</v>
      </c>
      <c r="B211" s="12" t="str">
        <f>Data!B210</f>
        <v>Vehicle, Company Group</v>
      </c>
      <c r="C211" s="12" t="str">
        <f>Data!D210</f>
        <v>b28</v>
      </c>
      <c r="D211" s="13">
        <f>Data!E210</f>
        <v>46071.379785879733</v>
      </c>
      <c r="E211" s="56">
        <f t="shared" si="12"/>
        <v>0</v>
      </c>
      <c r="F211" s="12" t="str">
        <f>Data!F210</f>
        <v>Telematics device fault: Check device installation as the accelerometer was disabled due to excessive data</v>
      </c>
      <c r="G211" s="14" t="str">
        <f>Data!A210&amp;" "&amp;Data!F210</f>
        <v>Demo - 40 Telematics device fault: Check device installation as the accelerometer was disabled due to excessive data</v>
      </c>
      <c r="H211" s="56">
        <f>IF(COUNTIF($G$10:G211,G211)&gt;1,0,1)</f>
        <v>0</v>
      </c>
      <c r="I211" s="12" t="str">
        <f>IF(L211=FALSE,Data!J210," ")</f>
        <v xml:space="preserve"> </v>
      </c>
      <c r="J211" s="15" t="b">
        <f t="shared" si="13"/>
        <v>0</v>
      </c>
      <c r="K211" s="12" t="str">
        <f>Data!H210</f>
        <v>Telematics Device</v>
      </c>
      <c r="L211" s="15" t="b">
        <f t="shared" si="14"/>
        <v>1</v>
      </c>
      <c r="M211" s="14" t="str">
        <f>Data!I210</f>
        <v>Telematics device</v>
      </c>
      <c r="N211" s="15" t="str">
        <f>Data!G210</f>
        <v>265</v>
      </c>
      <c r="O211" s="15" t="b">
        <f t="shared" si="15"/>
        <v>1</v>
      </c>
      <c r="P211" s="12" t="str">
        <f>IF(Data!K210=FALSE(),"", Data!K210)</f>
        <v/>
      </c>
      <c r="Q211" s="12" t="str">
        <f>IF(Data!L210=FALSE(),"", Data!L210)</f>
        <v/>
      </c>
      <c r="R211" s="12" t="str">
        <f>IF(Data!M210=FALSE(),"", Data!M210)</f>
        <v/>
      </c>
      <c r="S211" s="12" t="str">
        <f>IF(Data!N210=FALSE(),"", Data!N210)</f>
        <v/>
      </c>
    </row>
    <row r="212" spans="1:19" ht="16.5">
      <c r="A212" s="12" t="str">
        <f>Data!A211</f>
        <v>Demo - 40</v>
      </c>
      <c r="B212" s="12" t="str">
        <f>Data!B211</f>
        <v>Vehicle, Company Group</v>
      </c>
      <c r="C212" s="12" t="str">
        <f>Data!D211</f>
        <v>b28</v>
      </c>
      <c r="D212" s="13">
        <f>Data!E211</f>
        <v>46071.422702546399</v>
      </c>
      <c r="E212" s="56">
        <f t="shared" si="12"/>
        <v>0</v>
      </c>
      <c r="F212" s="12" t="str">
        <f>Data!F211</f>
        <v>Telematics device fault: Check device installation as the accelerometer was disabled due to excessive data</v>
      </c>
      <c r="G212" s="14" t="str">
        <f>Data!A211&amp;" "&amp;Data!F211</f>
        <v>Demo - 40 Telematics device fault: Check device installation as the accelerometer was disabled due to excessive data</v>
      </c>
      <c r="H212" s="56">
        <f>IF(COUNTIF($G$10:G212,G212)&gt;1,0,1)</f>
        <v>0</v>
      </c>
      <c r="I212" s="12" t="str">
        <f>IF(L212=FALSE,Data!J211," ")</f>
        <v xml:space="preserve"> </v>
      </c>
      <c r="J212" s="15" t="b">
        <f t="shared" si="13"/>
        <v>0</v>
      </c>
      <c r="K212" s="12" t="str">
        <f>Data!H211</f>
        <v>Telematics Device</v>
      </c>
      <c r="L212" s="15" t="b">
        <f t="shared" si="14"/>
        <v>1</v>
      </c>
      <c r="M212" s="14" t="str">
        <f>Data!I211</f>
        <v>Telematics device</v>
      </c>
      <c r="N212" s="15" t="str">
        <f>Data!G211</f>
        <v>265</v>
      </c>
      <c r="O212" s="15" t="b">
        <f t="shared" si="15"/>
        <v>1</v>
      </c>
      <c r="P212" s="12" t="str">
        <f>IF(Data!K211=FALSE(),"", Data!K211)</f>
        <v/>
      </c>
      <c r="Q212" s="12" t="str">
        <f>IF(Data!L211=FALSE(),"", Data!L211)</f>
        <v/>
      </c>
      <c r="R212" s="12" t="str">
        <f>IF(Data!M211=FALSE(),"", Data!M211)</f>
        <v/>
      </c>
      <c r="S212" s="12" t="str">
        <f>IF(Data!N211=FALSE(),"", Data!N211)</f>
        <v/>
      </c>
    </row>
    <row r="213" spans="1:19" ht="16.5">
      <c r="A213" s="12" t="str">
        <f>Data!A212</f>
        <v>Demo - 40</v>
      </c>
      <c r="B213" s="12" t="str">
        <f>Data!B212</f>
        <v>Vehicle, Company Group</v>
      </c>
      <c r="C213" s="12" t="str">
        <f>Data!D212</f>
        <v>b28</v>
      </c>
      <c r="D213" s="13">
        <f>Data!E212</f>
        <v>46071.454427083438</v>
      </c>
      <c r="E213" s="56">
        <f t="shared" si="12"/>
        <v>0</v>
      </c>
      <c r="F213" s="12" t="str">
        <f>Data!F212</f>
        <v>Telematics device fault: Check device installation as the accelerometer was disabled due to excessive data</v>
      </c>
      <c r="G213" s="14" t="str">
        <f>Data!A212&amp;" "&amp;Data!F212</f>
        <v>Demo - 40 Telematics device fault: Check device installation as the accelerometer was disabled due to excessive data</v>
      </c>
      <c r="H213" s="56">
        <f>IF(COUNTIF($G$10:G213,G213)&gt;1,0,1)</f>
        <v>0</v>
      </c>
      <c r="I213" s="12" t="str">
        <f>IF(L213=FALSE,Data!J212," ")</f>
        <v xml:space="preserve"> </v>
      </c>
      <c r="J213" s="15" t="b">
        <f t="shared" si="13"/>
        <v>0</v>
      </c>
      <c r="K213" s="12" t="str">
        <f>Data!H212</f>
        <v>Telematics Device</v>
      </c>
      <c r="L213" s="15" t="b">
        <f t="shared" si="14"/>
        <v>1</v>
      </c>
      <c r="M213" s="14" t="str">
        <f>Data!I212</f>
        <v>Telematics device</v>
      </c>
      <c r="N213" s="15" t="str">
        <f>Data!G212</f>
        <v>265</v>
      </c>
      <c r="O213" s="15" t="b">
        <f t="shared" si="15"/>
        <v>1</v>
      </c>
      <c r="P213" s="12" t="str">
        <f>IF(Data!K212=FALSE(),"", Data!K212)</f>
        <v/>
      </c>
      <c r="Q213" s="12" t="str">
        <f>IF(Data!L212=FALSE(),"", Data!L212)</f>
        <v/>
      </c>
      <c r="R213" s="12" t="str">
        <f>IF(Data!M212=FALSE(),"", Data!M212)</f>
        <v/>
      </c>
      <c r="S213" s="12" t="str">
        <f>IF(Data!N212=FALSE(),"", Data!N212)</f>
        <v/>
      </c>
    </row>
    <row r="214" spans="1:19" ht="16.5">
      <c r="A214" s="12" t="str">
        <f>Data!A213</f>
        <v>Demo - 40</v>
      </c>
      <c r="B214" s="12" t="str">
        <f>Data!B213</f>
        <v>Vehicle, Company Group</v>
      </c>
      <c r="C214" s="12" t="str">
        <f>Data!D213</f>
        <v>b28</v>
      </c>
      <c r="D214" s="13">
        <f>Data!E213</f>
        <v>46071.493466435284</v>
      </c>
      <c r="E214" s="56">
        <f t="shared" si="12"/>
        <v>0</v>
      </c>
      <c r="F214" s="12" t="str">
        <f>Data!F213</f>
        <v>Telematics device fault: Check device installation as the accelerometer was disabled due to excessive data</v>
      </c>
      <c r="G214" s="14" t="str">
        <f>Data!A213&amp;" "&amp;Data!F213</f>
        <v>Demo - 40 Telematics device fault: Check device installation as the accelerometer was disabled due to excessive data</v>
      </c>
      <c r="H214" s="56">
        <f>IF(COUNTIF($G$10:G214,G214)&gt;1,0,1)</f>
        <v>0</v>
      </c>
      <c r="I214" s="12" t="str">
        <f>IF(L214=FALSE,Data!J213," ")</f>
        <v xml:space="preserve"> </v>
      </c>
      <c r="J214" s="15" t="b">
        <f t="shared" si="13"/>
        <v>0</v>
      </c>
      <c r="K214" s="12" t="str">
        <f>Data!H213</f>
        <v>Telematics Device</v>
      </c>
      <c r="L214" s="15" t="b">
        <f t="shared" si="14"/>
        <v>1</v>
      </c>
      <c r="M214" s="14" t="str">
        <f>Data!I213</f>
        <v>Telematics device</v>
      </c>
      <c r="N214" s="15" t="str">
        <f>Data!G213</f>
        <v>265</v>
      </c>
      <c r="O214" s="15" t="b">
        <f t="shared" si="15"/>
        <v>1</v>
      </c>
      <c r="P214" s="12" t="str">
        <f>IF(Data!K213=FALSE(),"", Data!K213)</f>
        <v/>
      </c>
      <c r="Q214" s="12" t="str">
        <f>IF(Data!L213=FALSE(),"", Data!L213)</f>
        <v/>
      </c>
      <c r="R214" s="12" t="str">
        <f>IF(Data!M213=FALSE(),"", Data!M213)</f>
        <v/>
      </c>
      <c r="S214" s="12" t="str">
        <f>IF(Data!N213=FALSE(),"", Data!N213)</f>
        <v/>
      </c>
    </row>
    <row r="215" spans="1:19" ht="16.5">
      <c r="A215" s="12" t="str">
        <f>Data!A214</f>
        <v>Demo - 40</v>
      </c>
      <c r="B215" s="12" t="str">
        <f>Data!B214</f>
        <v>Vehicle, Company Group</v>
      </c>
      <c r="C215" s="12" t="str">
        <f>Data!D214</f>
        <v>b28</v>
      </c>
      <c r="D215" s="13">
        <f>Data!E214</f>
        <v>46071.529762731581</v>
      </c>
      <c r="E215" s="56">
        <f t="shared" si="12"/>
        <v>0</v>
      </c>
      <c r="F215" s="12" t="str">
        <f>Data!F214</f>
        <v>Telematics device fault: Check device installation as the accelerometer was disabled due to excessive data</v>
      </c>
      <c r="G215" s="14" t="str">
        <f>Data!A214&amp;" "&amp;Data!F214</f>
        <v>Demo - 40 Telematics device fault: Check device installation as the accelerometer was disabled due to excessive data</v>
      </c>
      <c r="H215" s="56">
        <f>IF(COUNTIF($G$10:G215,G215)&gt;1,0,1)</f>
        <v>0</v>
      </c>
      <c r="I215" s="12" t="str">
        <f>IF(L215=FALSE,Data!J214," ")</f>
        <v xml:space="preserve"> </v>
      </c>
      <c r="J215" s="15" t="b">
        <f t="shared" si="13"/>
        <v>0</v>
      </c>
      <c r="K215" s="12" t="str">
        <f>Data!H214</f>
        <v>Telematics Device</v>
      </c>
      <c r="L215" s="15" t="b">
        <f t="shared" si="14"/>
        <v>1</v>
      </c>
      <c r="M215" s="14" t="str">
        <f>Data!I214</f>
        <v>Telematics device</v>
      </c>
      <c r="N215" s="15" t="str">
        <f>Data!G214</f>
        <v>265</v>
      </c>
      <c r="O215" s="15" t="b">
        <f t="shared" si="15"/>
        <v>1</v>
      </c>
      <c r="P215" s="12" t="str">
        <f>IF(Data!K214=FALSE(),"", Data!K214)</f>
        <v/>
      </c>
      <c r="Q215" s="12" t="str">
        <f>IF(Data!L214=FALSE(),"", Data!L214)</f>
        <v/>
      </c>
      <c r="R215" s="12" t="str">
        <f>IF(Data!M214=FALSE(),"", Data!M214)</f>
        <v/>
      </c>
      <c r="S215" s="12" t="str">
        <f>IF(Data!N214=FALSE(),"", Data!N214)</f>
        <v/>
      </c>
    </row>
    <row r="216" spans="1:19" ht="16.5">
      <c r="A216" s="12" t="str">
        <f>Data!A215</f>
        <v>Demo - 40</v>
      </c>
      <c r="B216" s="12" t="str">
        <f>Data!B215</f>
        <v>Vehicle, Company Group</v>
      </c>
      <c r="C216" s="12" t="str">
        <f>Data!D215</f>
        <v>b28</v>
      </c>
      <c r="D216" s="13">
        <f>Data!E215</f>
        <v>46071.562135416767</v>
      </c>
      <c r="E216" s="56">
        <f t="shared" si="12"/>
        <v>0</v>
      </c>
      <c r="F216" s="12" t="str">
        <f>Data!F215</f>
        <v>Telematics device fault: Check device installation as the accelerometer was disabled due to excessive data</v>
      </c>
      <c r="G216" s="14" t="str">
        <f>Data!A215&amp;" "&amp;Data!F215</f>
        <v>Demo - 40 Telematics device fault: Check device installation as the accelerometer was disabled due to excessive data</v>
      </c>
      <c r="H216" s="56">
        <f>IF(COUNTIF($G$10:G216,G216)&gt;1,0,1)</f>
        <v>0</v>
      </c>
      <c r="I216" s="12" t="str">
        <f>IF(L216=FALSE,Data!J215," ")</f>
        <v xml:space="preserve"> </v>
      </c>
      <c r="J216" s="15" t="b">
        <f t="shared" si="13"/>
        <v>0</v>
      </c>
      <c r="K216" s="12" t="str">
        <f>Data!H215</f>
        <v>Telematics Device</v>
      </c>
      <c r="L216" s="15" t="b">
        <f t="shared" si="14"/>
        <v>1</v>
      </c>
      <c r="M216" s="14" t="str">
        <f>Data!I215</f>
        <v>Telematics device</v>
      </c>
      <c r="N216" s="15" t="str">
        <f>Data!G215</f>
        <v>265</v>
      </c>
      <c r="O216" s="15" t="b">
        <f t="shared" si="15"/>
        <v>1</v>
      </c>
      <c r="P216" s="12" t="str">
        <f>IF(Data!K215=FALSE(),"", Data!K215)</f>
        <v/>
      </c>
      <c r="Q216" s="12" t="str">
        <f>IF(Data!L215=FALSE(),"", Data!L215)</f>
        <v/>
      </c>
      <c r="R216" s="12" t="str">
        <f>IF(Data!M215=FALSE(),"", Data!M215)</f>
        <v/>
      </c>
      <c r="S216" s="12" t="str">
        <f>IF(Data!N215=FALSE(),"", Data!N215)</f>
        <v/>
      </c>
    </row>
    <row r="217" spans="1:19" ht="16.5">
      <c r="A217" s="12" t="str">
        <f>Data!A216</f>
        <v>Demo - 40</v>
      </c>
      <c r="B217" s="12" t="str">
        <f>Data!B216</f>
        <v>Vehicle, Company Group</v>
      </c>
      <c r="C217" s="12" t="str">
        <f>Data!D216</f>
        <v>b28</v>
      </c>
      <c r="D217" s="13">
        <f>Data!E216</f>
        <v>46071.604033564916</v>
      </c>
      <c r="E217" s="56">
        <f t="shared" si="12"/>
        <v>0</v>
      </c>
      <c r="F217" s="12" t="str">
        <f>Data!F216</f>
        <v>Telematics device fault: Check device installation as the accelerometer was disabled due to excessive data</v>
      </c>
      <c r="G217" s="14" t="str">
        <f>Data!A216&amp;" "&amp;Data!F216</f>
        <v>Demo - 40 Telematics device fault: Check device installation as the accelerometer was disabled due to excessive data</v>
      </c>
      <c r="H217" s="56">
        <f>IF(COUNTIF($G$10:G217,G217)&gt;1,0,1)</f>
        <v>0</v>
      </c>
      <c r="I217" s="12" t="str">
        <f>IF(L217=FALSE,Data!J216," ")</f>
        <v xml:space="preserve"> </v>
      </c>
      <c r="J217" s="15" t="b">
        <f t="shared" si="13"/>
        <v>0</v>
      </c>
      <c r="K217" s="12" t="str">
        <f>Data!H216</f>
        <v>Telematics Device</v>
      </c>
      <c r="L217" s="15" t="b">
        <f t="shared" si="14"/>
        <v>1</v>
      </c>
      <c r="M217" s="14" t="str">
        <f>Data!I216</f>
        <v>Telematics device</v>
      </c>
      <c r="N217" s="15" t="str">
        <f>Data!G216</f>
        <v>265</v>
      </c>
      <c r="O217" s="15" t="b">
        <f t="shared" si="15"/>
        <v>1</v>
      </c>
      <c r="P217" s="12" t="str">
        <f>IF(Data!K216=FALSE(),"", Data!K216)</f>
        <v/>
      </c>
      <c r="Q217" s="12" t="str">
        <f>IF(Data!L216=FALSE(),"", Data!L216)</f>
        <v/>
      </c>
      <c r="R217" s="12" t="str">
        <f>IF(Data!M216=FALSE(),"", Data!M216)</f>
        <v/>
      </c>
      <c r="S217" s="12" t="str">
        <f>IF(Data!N216=FALSE(),"", Data!N216)</f>
        <v/>
      </c>
    </row>
    <row r="218" spans="1:19" ht="16.5">
      <c r="A218" s="12" t="str">
        <f>Data!A217</f>
        <v>Demo - 40</v>
      </c>
      <c r="B218" s="12" t="str">
        <f>Data!B217</f>
        <v>Vehicle, Company Group</v>
      </c>
      <c r="C218" s="12" t="str">
        <f>Data!D217</f>
        <v>b28</v>
      </c>
      <c r="D218" s="13">
        <f>Data!E217</f>
        <v>46071.623188657511</v>
      </c>
      <c r="E218" s="56">
        <f t="shared" si="12"/>
        <v>0</v>
      </c>
      <c r="F218" s="12" t="str">
        <f>Data!F217</f>
        <v>Telematics device fault: Check device installation as the accelerometer was disabled due to excessive data</v>
      </c>
      <c r="G218" s="14" t="str">
        <f>Data!A217&amp;" "&amp;Data!F217</f>
        <v>Demo - 40 Telematics device fault: Check device installation as the accelerometer was disabled due to excessive data</v>
      </c>
      <c r="H218" s="56">
        <f>IF(COUNTIF($G$10:G218,G218)&gt;1,0,1)</f>
        <v>0</v>
      </c>
      <c r="I218" s="12" t="str">
        <f>IF(L218=FALSE,Data!J217," ")</f>
        <v xml:space="preserve"> </v>
      </c>
      <c r="J218" s="15" t="b">
        <f t="shared" si="13"/>
        <v>0</v>
      </c>
      <c r="K218" s="12" t="str">
        <f>Data!H217</f>
        <v>Telematics Device</v>
      </c>
      <c r="L218" s="15" t="b">
        <f t="shared" si="14"/>
        <v>1</v>
      </c>
      <c r="M218" s="14" t="str">
        <f>Data!I217</f>
        <v>Telematics device</v>
      </c>
      <c r="N218" s="15" t="str">
        <f>Data!G217</f>
        <v>265</v>
      </c>
      <c r="O218" s="15" t="b">
        <f t="shared" si="15"/>
        <v>1</v>
      </c>
      <c r="P218" s="12" t="str">
        <f>IF(Data!K217=FALSE(),"", Data!K217)</f>
        <v/>
      </c>
      <c r="Q218" s="12" t="str">
        <f>IF(Data!L217=FALSE(),"", Data!L217)</f>
        <v/>
      </c>
      <c r="R218" s="12" t="str">
        <f>IF(Data!M217=FALSE(),"", Data!M217)</f>
        <v/>
      </c>
      <c r="S218" s="12" t="str">
        <f>IF(Data!N217=FALSE(),"", Data!N217)</f>
        <v/>
      </c>
    </row>
    <row r="219" spans="1:19" ht="16.5">
      <c r="A219" s="12" t="str">
        <f>Data!A218</f>
        <v>Demo - 40</v>
      </c>
      <c r="B219" s="12" t="str">
        <f>Data!B218</f>
        <v>Vehicle, Company Group</v>
      </c>
      <c r="C219" s="12" t="str">
        <f>Data!D218</f>
        <v>b28</v>
      </c>
      <c r="D219" s="13">
        <f>Data!E218</f>
        <v>46071.631684027881</v>
      </c>
      <c r="E219" s="56">
        <f t="shared" si="12"/>
        <v>0</v>
      </c>
      <c r="F219" s="12" t="str">
        <f>Data!F218</f>
        <v>Telematics device fault: Check device installation as the accelerometer was disabled due to excessive data</v>
      </c>
      <c r="G219" s="14" t="str">
        <f>Data!A218&amp;" "&amp;Data!F218</f>
        <v>Demo - 40 Telematics device fault: Check device installation as the accelerometer was disabled due to excessive data</v>
      </c>
      <c r="H219" s="56">
        <f>IF(COUNTIF($G$10:G219,G219)&gt;1,0,1)</f>
        <v>0</v>
      </c>
      <c r="I219" s="12" t="str">
        <f>IF(L219=FALSE,Data!J218," ")</f>
        <v xml:space="preserve"> </v>
      </c>
      <c r="J219" s="15" t="b">
        <f t="shared" si="13"/>
        <v>0</v>
      </c>
      <c r="K219" s="12" t="str">
        <f>Data!H218</f>
        <v>Telematics Device</v>
      </c>
      <c r="L219" s="15" t="b">
        <f t="shared" si="14"/>
        <v>1</v>
      </c>
      <c r="M219" s="14" t="str">
        <f>Data!I218</f>
        <v>Telematics device</v>
      </c>
      <c r="N219" s="15" t="str">
        <f>Data!G218</f>
        <v>265</v>
      </c>
      <c r="O219" s="15" t="b">
        <f t="shared" si="15"/>
        <v>1</v>
      </c>
      <c r="P219" s="12" t="str">
        <f>IF(Data!K218=FALSE(),"", Data!K218)</f>
        <v/>
      </c>
      <c r="Q219" s="12" t="str">
        <f>IF(Data!L218=FALSE(),"", Data!L218)</f>
        <v/>
      </c>
      <c r="R219" s="12" t="str">
        <f>IF(Data!M218=FALSE(),"", Data!M218)</f>
        <v/>
      </c>
      <c r="S219" s="12" t="str">
        <f>IF(Data!N218=FALSE(),"", Data!N218)</f>
        <v/>
      </c>
    </row>
    <row r="220" spans="1:19" ht="16.5">
      <c r="A220" s="12" t="str">
        <f>Data!A219</f>
        <v>Demo - 40</v>
      </c>
      <c r="B220" s="12" t="str">
        <f>Data!B219</f>
        <v>Vehicle, Company Group</v>
      </c>
      <c r="C220" s="12" t="str">
        <f>Data!D219</f>
        <v>b28</v>
      </c>
      <c r="D220" s="13">
        <f>Data!E219</f>
        <v>46072.396614583435</v>
      </c>
      <c r="E220" s="56">
        <f t="shared" si="12"/>
        <v>0</v>
      </c>
      <c r="F220" s="12" t="str">
        <f>Data!F219</f>
        <v>Telematics device fault: Check device installation as the accelerometer was disabled due to excessive data</v>
      </c>
      <c r="G220" s="14" t="str">
        <f>Data!A219&amp;" "&amp;Data!F219</f>
        <v>Demo - 40 Telematics device fault: Check device installation as the accelerometer was disabled due to excessive data</v>
      </c>
      <c r="H220" s="56">
        <f>IF(COUNTIF($G$10:G220,G220)&gt;1,0,1)</f>
        <v>0</v>
      </c>
      <c r="I220" s="12" t="str">
        <f>IF(L220=FALSE,Data!J219," ")</f>
        <v xml:space="preserve"> </v>
      </c>
      <c r="J220" s="15" t="b">
        <f t="shared" si="13"/>
        <v>0</v>
      </c>
      <c r="K220" s="12" t="str">
        <f>Data!H219</f>
        <v>Telematics Device</v>
      </c>
      <c r="L220" s="15" t="b">
        <f t="shared" si="14"/>
        <v>1</v>
      </c>
      <c r="M220" s="14" t="str">
        <f>Data!I219</f>
        <v>Telematics device</v>
      </c>
      <c r="N220" s="15" t="str">
        <f>Data!G219</f>
        <v>265</v>
      </c>
      <c r="O220" s="15" t="b">
        <f t="shared" si="15"/>
        <v>1</v>
      </c>
      <c r="P220" s="12" t="str">
        <f>IF(Data!K219=FALSE(),"", Data!K219)</f>
        <v/>
      </c>
      <c r="Q220" s="12" t="str">
        <f>IF(Data!L219=FALSE(),"", Data!L219)</f>
        <v/>
      </c>
      <c r="R220" s="12" t="str">
        <f>IF(Data!M219=FALSE(),"", Data!M219)</f>
        <v/>
      </c>
      <c r="S220" s="12" t="str">
        <f>IF(Data!N219=FALSE(),"", Data!N219)</f>
        <v/>
      </c>
    </row>
    <row r="221" spans="1:19" ht="16.5">
      <c r="A221" s="12" t="str">
        <f>Data!A220</f>
        <v>Demo - 41</v>
      </c>
      <c r="B221" s="12" t="str">
        <f>Data!B220</f>
        <v>Vehicle, Company Group</v>
      </c>
      <c r="C221" s="12" t="str">
        <f>Data!D220</f>
        <v>b29</v>
      </c>
      <c r="D221" s="13">
        <f>Data!E220</f>
        <v>46063.490486111114</v>
      </c>
      <c r="E221" s="56">
        <f t="shared" si="12"/>
        <v>0</v>
      </c>
      <c r="F221" s="12" t="str">
        <f>Data!F220</f>
        <v>Telematics device fault: Check device installation as the accelerometer was disabled due to excessive data</v>
      </c>
      <c r="G221" s="14" t="str">
        <f>Data!A220&amp;" "&amp;Data!F220</f>
        <v>Demo - 41 Telematics device fault: Check device installation as the accelerometer was disabled due to excessive data</v>
      </c>
      <c r="H221" s="56">
        <f>IF(COUNTIF($G$10:G221,G221)&gt;1,0,1)</f>
        <v>1</v>
      </c>
      <c r="I221" s="12" t="str">
        <f>IF(L221=FALSE,Data!J220," ")</f>
        <v xml:space="preserve"> </v>
      </c>
      <c r="J221" s="15" t="b">
        <f t="shared" si="13"/>
        <v>0</v>
      </c>
      <c r="K221" s="12" t="str">
        <f>Data!H220</f>
        <v>Telematics Device</v>
      </c>
      <c r="L221" s="15" t="b">
        <f t="shared" si="14"/>
        <v>1</v>
      </c>
      <c r="M221" s="14" t="str">
        <f>Data!I220</f>
        <v>Telematics device</v>
      </c>
      <c r="N221" s="15" t="str">
        <f>Data!G220</f>
        <v>265</v>
      </c>
      <c r="O221" s="15" t="b">
        <f t="shared" si="15"/>
        <v>1</v>
      </c>
      <c r="P221" s="12" t="str">
        <f>IF(Data!K220=FALSE(),"", Data!K220)</f>
        <v/>
      </c>
      <c r="Q221" s="12" t="str">
        <f>IF(Data!L220=FALSE(),"", Data!L220)</f>
        <v/>
      </c>
      <c r="R221" s="12" t="str">
        <f>IF(Data!M220=FALSE(),"", Data!M220)</f>
        <v/>
      </c>
      <c r="S221" s="12" t="str">
        <f>IF(Data!N220=FALSE(),"", Data!N220)</f>
        <v/>
      </c>
    </row>
    <row r="222" spans="1:19" ht="16.5">
      <c r="A222" s="12" t="str">
        <f>Data!A221</f>
        <v>Demo - 41</v>
      </c>
      <c r="B222" s="12" t="str">
        <f>Data!B221</f>
        <v>Vehicle, Company Group</v>
      </c>
      <c r="C222" s="12" t="str">
        <f>Data!D221</f>
        <v>b29</v>
      </c>
      <c r="D222" s="13">
        <f>Data!E221</f>
        <v>46063.571250000001</v>
      </c>
      <c r="E222" s="56">
        <f t="shared" si="12"/>
        <v>0</v>
      </c>
      <c r="F222" s="12" t="str">
        <f>Data!F221</f>
        <v>Telematics device fault: Check device installation as the accelerometer was disabled due to excessive data</v>
      </c>
      <c r="G222" s="14" t="str">
        <f>Data!A221&amp;" "&amp;Data!F221</f>
        <v>Demo - 41 Telematics device fault: Check device installation as the accelerometer was disabled due to excessive data</v>
      </c>
      <c r="H222" s="56">
        <f>IF(COUNTIF($G$10:G222,G222)&gt;1,0,1)</f>
        <v>0</v>
      </c>
      <c r="I222" s="12" t="str">
        <f>IF(L222=FALSE,Data!J221," ")</f>
        <v xml:space="preserve"> </v>
      </c>
      <c r="J222" s="15" t="b">
        <f t="shared" si="13"/>
        <v>0</v>
      </c>
      <c r="K222" s="12" t="str">
        <f>Data!H221</f>
        <v>Telematics Device</v>
      </c>
      <c r="L222" s="15" t="b">
        <f t="shared" si="14"/>
        <v>1</v>
      </c>
      <c r="M222" s="14" t="str">
        <f>Data!I221</f>
        <v>Telematics device</v>
      </c>
      <c r="N222" s="15" t="str">
        <f>Data!G221</f>
        <v>265</v>
      </c>
      <c r="O222" s="15" t="b">
        <f t="shared" si="15"/>
        <v>1</v>
      </c>
      <c r="P222" s="12" t="str">
        <f>IF(Data!K221=FALSE(),"", Data!K221)</f>
        <v/>
      </c>
      <c r="Q222" s="12" t="str">
        <f>IF(Data!L221=FALSE(),"", Data!L221)</f>
        <v/>
      </c>
      <c r="R222" s="12" t="str">
        <f>IF(Data!M221=FALSE(),"", Data!M221)</f>
        <v/>
      </c>
      <c r="S222" s="12" t="str">
        <f>IF(Data!N221=FALSE(),"", Data!N221)</f>
        <v/>
      </c>
    </row>
    <row r="223" spans="1:19" ht="16.5">
      <c r="A223" s="12" t="str">
        <f>Data!A222</f>
        <v>Demo - 41</v>
      </c>
      <c r="B223" s="12" t="str">
        <f>Data!B222</f>
        <v>Vehicle, Company Group</v>
      </c>
      <c r="C223" s="12" t="str">
        <f>Data!D222</f>
        <v>b29</v>
      </c>
      <c r="D223" s="13">
        <f>Data!E222</f>
        <v>46063.613969907405</v>
      </c>
      <c r="E223" s="56">
        <f t="shared" si="12"/>
        <v>0</v>
      </c>
      <c r="F223" s="12" t="str">
        <f>Data!F222</f>
        <v>Telematics device fault: Check device installation as the accelerometer was disabled due to excessive data</v>
      </c>
      <c r="G223" s="14" t="str">
        <f>Data!A222&amp;" "&amp;Data!F222</f>
        <v>Demo - 41 Telematics device fault: Check device installation as the accelerometer was disabled due to excessive data</v>
      </c>
      <c r="H223" s="56">
        <f>IF(COUNTIF($G$10:G223,G223)&gt;1,0,1)</f>
        <v>0</v>
      </c>
      <c r="I223" s="12" t="str">
        <f>IF(L223=FALSE,Data!J222," ")</f>
        <v xml:space="preserve"> </v>
      </c>
      <c r="J223" s="15" t="b">
        <f t="shared" si="13"/>
        <v>0</v>
      </c>
      <c r="K223" s="12" t="str">
        <f>Data!H222</f>
        <v>Telematics Device</v>
      </c>
      <c r="L223" s="15" t="b">
        <f t="shared" si="14"/>
        <v>1</v>
      </c>
      <c r="M223" s="14" t="str">
        <f>Data!I222</f>
        <v>Telematics device</v>
      </c>
      <c r="N223" s="15" t="str">
        <f>Data!G222</f>
        <v>265</v>
      </c>
      <c r="O223" s="15" t="b">
        <f t="shared" si="15"/>
        <v>1</v>
      </c>
      <c r="P223" s="12" t="str">
        <f>IF(Data!K222=FALSE(),"", Data!K222)</f>
        <v/>
      </c>
      <c r="Q223" s="12" t="str">
        <f>IF(Data!L222=FALSE(),"", Data!L222)</f>
        <v/>
      </c>
      <c r="R223" s="12" t="str">
        <f>IF(Data!M222=FALSE(),"", Data!M222)</f>
        <v/>
      </c>
      <c r="S223" s="12" t="str">
        <f>IF(Data!N222=FALSE(),"", Data!N222)</f>
        <v/>
      </c>
    </row>
    <row r="224" spans="1:19" ht="16.5">
      <c r="A224" s="12" t="str">
        <f>Data!A223</f>
        <v>Demo - 41</v>
      </c>
      <c r="B224" s="12" t="str">
        <f>Data!B223</f>
        <v>Vehicle, Company Group</v>
      </c>
      <c r="C224" s="12" t="str">
        <f>Data!D223</f>
        <v>b29</v>
      </c>
      <c r="D224" s="13">
        <f>Data!E223</f>
        <v>46063.630648148152</v>
      </c>
      <c r="E224" s="56">
        <f t="shared" si="12"/>
        <v>0</v>
      </c>
      <c r="F224" s="12" t="str">
        <f>Data!F223</f>
        <v>Telematics device fault: Check device installation as the accelerometer was disabled due to excessive data</v>
      </c>
      <c r="G224" s="14" t="str">
        <f>Data!A223&amp;" "&amp;Data!F223</f>
        <v>Demo - 41 Telematics device fault: Check device installation as the accelerometer was disabled due to excessive data</v>
      </c>
      <c r="H224" s="56">
        <f>IF(COUNTIF($G$10:G224,G224)&gt;1,0,1)</f>
        <v>0</v>
      </c>
      <c r="I224" s="12" t="str">
        <f>IF(L224=FALSE,Data!J223," ")</f>
        <v xml:space="preserve"> </v>
      </c>
      <c r="J224" s="15" t="b">
        <f t="shared" si="13"/>
        <v>0</v>
      </c>
      <c r="K224" s="12" t="str">
        <f>Data!H223</f>
        <v>Telematics Device</v>
      </c>
      <c r="L224" s="15" t="b">
        <f t="shared" si="14"/>
        <v>1</v>
      </c>
      <c r="M224" s="14" t="str">
        <f>Data!I223</f>
        <v>Telematics device</v>
      </c>
      <c r="N224" s="15" t="str">
        <f>Data!G223</f>
        <v>265</v>
      </c>
      <c r="O224" s="15" t="b">
        <f t="shared" si="15"/>
        <v>1</v>
      </c>
      <c r="P224" s="12" t="str">
        <f>IF(Data!K223=FALSE(),"", Data!K223)</f>
        <v/>
      </c>
      <c r="Q224" s="12" t="str">
        <f>IF(Data!L223=FALSE(),"", Data!L223)</f>
        <v/>
      </c>
      <c r="R224" s="12" t="str">
        <f>IF(Data!M223=FALSE(),"", Data!M223)</f>
        <v/>
      </c>
      <c r="S224" s="12" t="str">
        <f>IF(Data!N223=FALSE(),"", Data!N223)</f>
        <v/>
      </c>
    </row>
    <row r="225" spans="1:19" ht="16.5">
      <c r="A225" s="12" t="str">
        <f>Data!A224</f>
        <v>Demo - 41</v>
      </c>
      <c r="B225" s="12" t="str">
        <f>Data!B224</f>
        <v>Vehicle, Company Group</v>
      </c>
      <c r="C225" s="12" t="str">
        <f>Data!D224</f>
        <v>b29</v>
      </c>
      <c r="D225" s="13">
        <f>Data!E224</f>
        <v>46063.654699074075</v>
      </c>
      <c r="E225" s="56">
        <f t="shared" si="12"/>
        <v>0</v>
      </c>
      <c r="F225" s="12" t="str">
        <f>Data!F224</f>
        <v>Telematics device fault: Check device installation as the accelerometer was disabled due to excessive data</v>
      </c>
      <c r="G225" s="14" t="str">
        <f>Data!A224&amp;" "&amp;Data!F224</f>
        <v>Demo - 41 Telematics device fault: Check device installation as the accelerometer was disabled due to excessive data</v>
      </c>
      <c r="H225" s="56">
        <f>IF(COUNTIF($G$10:G225,G225)&gt;1,0,1)</f>
        <v>0</v>
      </c>
      <c r="I225" s="12" t="str">
        <f>IF(L225=FALSE,Data!J224," ")</f>
        <v xml:space="preserve"> </v>
      </c>
      <c r="J225" s="15" t="b">
        <f t="shared" si="13"/>
        <v>0</v>
      </c>
      <c r="K225" s="12" t="str">
        <f>Data!H224</f>
        <v>Telematics Device</v>
      </c>
      <c r="L225" s="15" t="b">
        <f t="shared" si="14"/>
        <v>1</v>
      </c>
      <c r="M225" s="14" t="str">
        <f>Data!I224</f>
        <v>Telematics device</v>
      </c>
      <c r="N225" s="15" t="str">
        <f>Data!G224</f>
        <v>265</v>
      </c>
      <c r="O225" s="15" t="b">
        <f t="shared" si="15"/>
        <v>1</v>
      </c>
      <c r="P225" s="12" t="str">
        <f>IF(Data!K224=FALSE(),"", Data!K224)</f>
        <v/>
      </c>
      <c r="Q225" s="12" t="str">
        <f>IF(Data!L224=FALSE(),"", Data!L224)</f>
        <v/>
      </c>
      <c r="R225" s="12" t="str">
        <f>IF(Data!M224=FALSE(),"", Data!M224)</f>
        <v/>
      </c>
      <c r="S225" s="12" t="str">
        <f>IF(Data!N224=FALSE(),"", Data!N224)</f>
        <v/>
      </c>
    </row>
    <row r="226" spans="1:19" ht="16.5">
      <c r="A226" s="12" t="str">
        <f>Data!A225</f>
        <v>Demo - 41</v>
      </c>
      <c r="B226" s="12" t="str">
        <f>Data!B225</f>
        <v>Vehicle, Company Group</v>
      </c>
      <c r="C226" s="12" t="str">
        <f>Data!D225</f>
        <v>b29</v>
      </c>
      <c r="D226" s="13">
        <f>Data!E225</f>
        <v>46063.683229166665</v>
      </c>
      <c r="E226" s="56">
        <f t="shared" si="12"/>
        <v>0</v>
      </c>
      <c r="F226" s="12" t="str">
        <f>Data!F225</f>
        <v>Telematics device fault: Check device installation as the accelerometer was disabled due to excessive data</v>
      </c>
      <c r="G226" s="14" t="str">
        <f>Data!A225&amp;" "&amp;Data!F225</f>
        <v>Demo - 41 Telematics device fault: Check device installation as the accelerometer was disabled due to excessive data</v>
      </c>
      <c r="H226" s="56">
        <f>IF(COUNTIF($G$10:G226,G226)&gt;1,0,1)</f>
        <v>0</v>
      </c>
      <c r="I226" s="12" t="str">
        <f>IF(L226=FALSE,Data!J225," ")</f>
        <v xml:space="preserve"> </v>
      </c>
      <c r="J226" s="15" t="b">
        <f t="shared" si="13"/>
        <v>0</v>
      </c>
      <c r="K226" s="12" t="str">
        <f>Data!H225</f>
        <v>Telematics Device</v>
      </c>
      <c r="L226" s="15" t="b">
        <f t="shared" si="14"/>
        <v>1</v>
      </c>
      <c r="M226" s="14" t="str">
        <f>Data!I225</f>
        <v>Telematics device</v>
      </c>
      <c r="N226" s="15" t="str">
        <f>Data!G225</f>
        <v>265</v>
      </c>
      <c r="O226" s="15" t="b">
        <f t="shared" si="15"/>
        <v>1</v>
      </c>
      <c r="P226" s="12" t="str">
        <f>IF(Data!K225=FALSE(),"", Data!K225)</f>
        <v/>
      </c>
      <c r="Q226" s="12" t="str">
        <f>IF(Data!L225=FALSE(),"", Data!L225)</f>
        <v/>
      </c>
      <c r="R226" s="12" t="str">
        <f>IF(Data!M225=FALSE(),"", Data!M225)</f>
        <v/>
      </c>
      <c r="S226" s="12" t="str">
        <f>IF(Data!N225=FALSE(),"", Data!N225)</f>
        <v/>
      </c>
    </row>
    <row r="227" spans="1:19" ht="16.5">
      <c r="A227" s="12" t="str">
        <f>Data!A226</f>
        <v>Demo - 41</v>
      </c>
      <c r="B227" s="12" t="str">
        <f>Data!B226</f>
        <v>Vehicle, Company Group</v>
      </c>
      <c r="C227" s="12" t="str">
        <f>Data!D226</f>
        <v>b29</v>
      </c>
      <c r="D227" s="13">
        <f>Data!E226</f>
        <v>46063.721458333333</v>
      </c>
      <c r="E227" s="56">
        <f t="shared" si="12"/>
        <v>0</v>
      </c>
      <c r="F227" s="12" t="str">
        <f>Data!F226</f>
        <v>Telematics device fault: Check device installation as the accelerometer was disabled due to excessive data</v>
      </c>
      <c r="G227" s="14" t="str">
        <f>Data!A226&amp;" "&amp;Data!F226</f>
        <v>Demo - 41 Telematics device fault: Check device installation as the accelerometer was disabled due to excessive data</v>
      </c>
      <c r="H227" s="56">
        <f>IF(COUNTIF($G$10:G227,G227)&gt;1,0,1)</f>
        <v>0</v>
      </c>
      <c r="I227" s="12" t="str">
        <f>IF(L227=FALSE,Data!J226," ")</f>
        <v xml:space="preserve"> </v>
      </c>
      <c r="J227" s="15" t="b">
        <f t="shared" si="13"/>
        <v>0</v>
      </c>
      <c r="K227" s="12" t="str">
        <f>Data!H226</f>
        <v>Telematics Device</v>
      </c>
      <c r="L227" s="15" t="b">
        <f t="shared" si="14"/>
        <v>1</v>
      </c>
      <c r="M227" s="14" t="str">
        <f>Data!I226</f>
        <v>Telematics device</v>
      </c>
      <c r="N227" s="15" t="str">
        <f>Data!G226</f>
        <v>265</v>
      </c>
      <c r="O227" s="15" t="b">
        <f t="shared" si="15"/>
        <v>1</v>
      </c>
      <c r="P227" s="12" t="str">
        <f>IF(Data!K226=FALSE(),"", Data!K226)</f>
        <v/>
      </c>
      <c r="Q227" s="12" t="str">
        <f>IF(Data!L226=FALSE(),"", Data!L226)</f>
        <v/>
      </c>
      <c r="R227" s="12" t="str">
        <f>IF(Data!M226=FALSE(),"", Data!M226)</f>
        <v/>
      </c>
      <c r="S227" s="12" t="str">
        <f>IF(Data!N226=FALSE(),"", Data!N226)</f>
        <v/>
      </c>
    </row>
    <row r="228" spans="1:19" ht="16.5">
      <c r="A228" s="12" t="str">
        <f>Data!A227</f>
        <v>Demo - 41</v>
      </c>
      <c r="B228" s="12" t="str">
        <f>Data!B227</f>
        <v>Vehicle, Company Group</v>
      </c>
      <c r="C228" s="12" t="str">
        <f>Data!D227</f>
        <v>b29</v>
      </c>
      <c r="D228" s="13">
        <f>Data!E227</f>
        <v>46063.735636574071</v>
      </c>
      <c r="E228" s="56">
        <f t="shared" si="12"/>
        <v>0</v>
      </c>
      <c r="F228" s="12" t="str">
        <f>Data!F227</f>
        <v>Telematics device fault: Check device installation as the accelerometer was disabled due to excessive data</v>
      </c>
      <c r="G228" s="14" t="str">
        <f>Data!A227&amp;" "&amp;Data!F227</f>
        <v>Demo - 41 Telematics device fault: Check device installation as the accelerometer was disabled due to excessive data</v>
      </c>
      <c r="H228" s="56">
        <f>IF(COUNTIF($G$10:G228,G228)&gt;1,0,1)</f>
        <v>0</v>
      </c>
      <c r="I228" s="12" t="str">
        <f>IF(L228=FALSE,Data!J227," ")</f>
        <v xml:space="preserve"> </v>
      </c>
      <c r="J228" s="15" t="b">
        <f t="shared" si="13"/>
        <v>0</v>
      </c>
      <c r="K228" s="12" t="str">
        <f>Data!H227</f>
        <v>Telematics Device</v>
      </c>
      <c r="L228" s="15" t="b">
        <f t="shared" si="14"/>
        <v>1</v>
      </c>
      <c r="M228" s="14" t="str">
        <f>Data!I227</f>
        <v>Telematics device</v>
      </c>
      <c r="N228" s="15" t="str">
        <f>Data!G227</f>
        <v>265</v>
      </c>
      <c r="O228" s="15" t="b">
        <f t="shared" si="15"/>
        <v>1</v>
      </c>
      <c r="P228" s="12" t="str">
        <f>IF(Data!K227=FALSE(),"", Data!K227)</f>
        <v/>
      </c>
      <c r="Q228" s="12" t="str">
        <f>IF(Data!L227=FALSE(),"", Data!L227)</f>
        <v/>
      </c>
      <c r="R228" s="12" t="str">
        <f>IF(Data!M227=FALSE(),"", Data!M227)</f>
        <v/>
      </c>
      <c r="S228" s="12" t="str">
        <f>IF(Data!N227=FALSE(),"", Data!N227)</f>
        <v/>
      </c>
    </row>
    <row r="229" spans="1:19" ht="16.5">
      <c r="A229" s="12" t="str">
        <f>Data!A228</f>
        <v>Demo - 41</v>
      </c>
      <c r="B229" s="12" t="str">
        <f>Data!B228</f>
        <v>Vehicle, Company Group</v>
      </c>
      <c r="C229" s="12" t="str">
        <f>Data!D228</f>
        <v>b29</v>
      </c>
      <c r="D229" s="13">
        <f>Data!E228</f>
        <v>46063.770150462966</v>
      </c>
      <c r="E229" s="56">
        <f t="shared" si="12"/>
        <v>0</v>
      </c>
      <c r="F229" s="12" t="str">
        <f>Data!F228</f>
        <v>Telematics device fault: Check device installation as the accelerometer was disabled due to excessive data</v>
      </c>
      <c r="G229" s="14" t="str">
        <f>Data!A228&amp;" "&amp;Data!F228</f>
        <v>Demo - 41 Telematics device fault: Check device installation as the accelerometer was disabled due to excessive data</v>
      </c>
      <c r="H229" s="56">
        <f>IF(COUNTIF($G$10:G229,G229)&gt;1,0,1)</f>
        <v>0</v>
      </c>
      <c r="I229" s="12" t="str">
        <f>IF(L229=FALSE,Data!J228," ")</f>
        <v xml:space="preserve"> </v>
      </c>
      <c r="J229" s="15" t="b">
        <f t="shared" si="13"/>
        <v>0</v>
      </c>
      <c r="K229" s="12" t="str">
        <f>Data!H228</f>
        <v>Telematics Device</v>
      </c>
      <c r="L229" s="15" t="b">
        <f t="shared" si="14"/>
        <v>1</v>
      </c>
      <c r="M229" s="14" t="str">
        <f>Data!I228</f>
        <v>Telematics device</v>
      </c>
      <c r="N229" s="15" t="str">
        <f>Data!G228</f>
        <v>265</v>
      </c>
      <c r="O229" s="15" t="b">
        <f t="shared" si="15"/>
        <v>1</v>
      </c>
      <c r="P229" s="12" t="str">
        <f>IF(Data!K228=FALSE(),"", Data!K228)</f>
        <v/>
      </c>
      <c r="Q229" s="12" t="str">
        <f>IF(Data!L228=FALSE(),"", Data!L228)</f>
        <v/>
      </c>
      <c r="R229" s="12" t="str">
        <f>IF(Data!M228=FALSE(),"", Data!M228)</f>
        <v/>
      </c>
      <c r="S229" s="12" t="str">
        <f>IF(Data!N228=FALSE(),"", Data!N228)</f>
        <v/>
      </c>
    </row>
    <row r="230" spans="1:19" ht="16.5">
      <c r="A230" s="12" t="str">
        <f>Data!A229</f>
        <v>Demo - 41</v>
      </c>
      <c r="B230" s="12" t="str">
        <f>Data!B229</f>
        <v>Vehicle, Company Group</v>
      </c>
      <c r="C230" s="12" t="str">
        <f>Data!D229</f>
        <v>b29</v>
      </c>
      <c r="D230" s="13">
        <f>Data!E229</f>
        <v>46063.805671296293</v>
      </c>
      <c r="E230" s="56">
        <f t="shared" si="12"/>
        <v>0</v>
      </c>
      <c r="F230" s="12" t="str">
        <f>Data!F229</f>
        <v>Telematics device fault: Check device installation as the accelerometer was disabled due to excessive data</v>
      </c>
      <c r="G230" s="14" t="str">
        <f>Data!A229&amp;" "&amp;Data!F229</f>
        <v>Demo - 41 Telematics device fault: Check device installation as the accelerometer was disabled due to excessive data</v>
      </c>
      <c r="H230" s="56">
        <f>IF(COUNTIF($G$10:G230,G230)&gt;1,0,1)</f>
        <v>0</v>
      </c>
      <c r="I230" s="12" t="str">
        <f>IF(L230=FALSE,Data!J229," ")</f>
        <v xml:space="preserve"> </v>
      </c>
      <c r="J230" s="15" t="b">
        <f t="shared" si="13"/>
        <v>0</v>
      </c>
      <c r="K230" s="12" t="str">
        <f>Data!H229</f>
        <v>Telematics Device</v>
      </c>
      <c r="L230" s="15" t="b">
        <f t="shared" si="14"/>
        <v>1</v>
      </c>
      <c r="M230" s="14" t="str">
        <f>Data!I229</f>
        <v>Telematics device</v>
      </c>
      <c r="N230" s="15" t="str">
        <f>Data!G229</f>
        <v>265</v>
      </c>
      <c r="O230" s="15" t="b">
        <f t="shared" si="15"/>
        <v>1</v>
      </c>
      <c r="P230" s="12" t="str">
        <f>IF(Data!K229=FALSE(),"", Data!K229)</f>
        <v/>
      </c>
      <c r="Q230" s="12" t="str">
        <f>IF(Data!L229=FALSE(),"", Data!L229)</f>
        <v/>
      </c>
      <c r="R230" s="12" t="str">
        <f>IF(Data!M229=FALSE(),"", Data!M229)</f>
        <v/>
      </c>
      <c r="S230" s="12" t="str">
        <f>IF(Data!N229=FALSE(),"", Data!N229)</f>
        <v/>
      </c>
    </row>
    <row r="231" spans="1:19" ht="16.5">
      <c r="A231" s="12" t="str">
        <f>Data!A230</f>
        <v>Demo - 41</v>
      </c>
      <c r="B231" s="12" t="str">
        <f>Data!B230</f>
        <v>Vehicle, Company Group</v>
      </c>
      <c r="C231" s="12" t="str">
        <f>Data!D230</f>
        <v>b29</v>
      </c>
      <c r="D231" s="13">
        <f>Data!E230</f>
        <v>46064.593391203707</v>
      </c>
      <c r="E231" s="56">
        <f t="shared" si="12"/>
        <v>0</v>
      </c>
      <c r="F231" s="12" t="str">
        <f>Data!F230</f>
        <v>Telematics device fault: Check device installation as the accelerometer was disabled due to excessive data</v>
      </c>
      <c r="G231" s="14" t="str">
        <f>Data!A230&amp;" "&amp;Data!F230</f>
        <v>Demo - 41 Telematics device fault: Check device installation as the accelerometer was disabled due to excessive data</v>
      </c>
      <c r="H231" s="56">
        <f>IF(COUNTIF($G$10:G231,G231)&gt;1,0,1)</f>
        <v>0</v>
      </c>
      <c r="I231" s="12" t="str">
        <f>IF(L231=FALSE,Data!J230," ")</f>
        <v xml:space="preserve"> </v>
      </c>
      <c r="J231" s="15" t="b">
        <f t="shared" si="13"/>
        <v>0</v>
      </c>
      <c r="K231" s="12" t="str">
        <f>Data!H230</f>
        <v>Telematics Device</v>
      </c>
      <c r="L231" s="15" t="b">
        <f t="shared" si="14"/>
        <v>1</v>
      </c>
      <c r="M231" s="14" t="str">
        <f>Data!I230</f>
        <v>Telematics device</v>
      </c>
      <c r="N231" s="15" t="str">
        <f>Data!G230</f>
        <v>265</v>
      </c>
      <c r="O231" s="15" t="b">
        <f t="shared" si="15"/>
        <v>1</v>
      </c>
      <c r="P231" s="12" t="str">
        <f>IF(Data!K230=FALSE(),"", Data!K230)</f>
        <v/>
      </c>
      <c r="Q231" s="12" t="str">
        <f>IF(Data!L230=FALSE(),"", Data!L230)</f>
        <v/>
      </c>
      <c r="R231" s="12" t="str">
        <f>IF(Data!M230=FALSE(),"", Data!M230)</f>
        <v/>
      </c>
      <c r="S231" s="12" t="str">
        <f>IF(Data!N230=FALSE(),"", Data!N230)</f>
        <v/>
      </c>
    </row>
    <row r="232" spans="1:19" ht="16.5">
      <c r="A232" s="12" t="str">
        <f>Data!A231</f>
        <v>Demo - 41</v>
      </c>
      <c r="B232" s="12" t="str">
        <f>Data!B231</f>
        <v>Vehicle, Company Group</v>
      </c>
      <c r="C232" s="12" t="str">
        <f>Data!D231</f>
        <v>b29</v>
      </c>
      <c r="D232" s="13">
        <f>Data!E231</f>
        <v>46064.627256944441</v>
      </c>
      <c r="E232" s="56">
        <f t="shared" si="12"/>
        <v>0</v>
      </c>
      <c r="F232" s="12" t="str">
        <f>Data!F231</f>
        <v>Telematics device fault: Check device installation as the accelerometer was disabled due to excessive data</v>
      </c>
      <c r="G232" s="14" t="str">
        <f>Data!A231&amp;" "&amp;Data!F231</f>
        <v>Demo - 41 Telematics device fault: Check device installation as the accelerometer was disabled due to excessive data</v>
      </c>
      <c r="H232" s="56">
        <f>IF(COUNTIF($G$10:G232,G232)&gt;1,0,1)</f>
        <v>0</v>
      </c>
      <c r="I232" s="12" t="str">
        <f>IF(L232=FALSE,Data!J231," ")</f>
        <v xml:space="preserve"> </v>
      </c>
      <c r="J232" s="15" t="b">
        <f t="shared" si="13"/>
        <v>0</v>
      </c>
      <c r="K232" s="12" t="str">
        <f>Data!H231</f>
        <v>Telematics Device</v>
      </c>
      <c r="L232" s="15" t="b">
        <f t="shared" si="14"/>
        <v>1</v>
      </c>
      <c r="M232" s="14" t="str">
        <f>Data!I231</f>
        <v>Telematics device</v>
      </c>
      <c r="N232" s="15" t="str">
        <f>Data!G231</f>
        <v>265</v>
      </c>
      <c r="O232" s="15" t="b">
        <f t="shared" si="15"/>
        <v>1</v>
      </c>
      <c r="P232" s="12" t="str">
        <f>IF(Data!K231=FALSE(),"", Data!K231)</f>
        <v/>
      </c>
      <c r="Q232" s="12" t="str">
        <f>IF(Data!L231=FALSE(),"", Data!L231)</f>
        <v/>
      </c>
      <c r="R232" s="12" t="str">
        <f>IF(Data!M231=FALSE(),"", Data!M231)</f>
        <v/>
      </c>
      <c r="S232" s="12" t="str">
        <f>IF(Data!N231=FALSE(),"", Data!N231)</f>
        <v/>
      </c>
    </row>
    <row r="233" spans="1:19" ht="16.5">
      <c r="A233" s="12" t="str">
        <f>Data!A232</f>
        <v>Demo - 41</v>
      </c>
      <c r="B233" s="12" t="str">
        <f>Data!B232</f>
        <v>Vehicle, Company Group</v>
      </c>
      <c r="C233" s="12" t="str">
        <f>Data!D232</f>
        <v>b29</v>
      </c>
      <c r="D233" s="13">
        <f>Data!E232</f>
        <v>46064.661006944443</v>
      </c>
      <c r="E233" s="56">
        <f t="shared" si="12"/>
        <v>0</v>
      </c>
      <c r="F233" s="12" t="str">
        <f>Data!F232</f>
        <v>Telematics device fault: Check device installation as the accelerometer was disabled due to excessive data</v>
      </c>
      <c r="G233" s="14" t="str">
        <f>Data!A232&amp;" "&amp;Data!F232</f>
        <v>Demo - 41 Telematics device fault: Check device installation as the accelerometer was disabled due to excessive data</v>
      </c>
      <c r="H233" s="56">
        <f>IF(COUNTIF($G$10:G233,G233)&gt;1,0,1)</f>
        <v>0</v>
      </c>
      <c r="I233" s="12" t="str">
        <f>IF(L233=FALSE,Data!J232," ")</f>
        <v xml:space="preserve"> </v>
      </c>
      <c r="J233" s="15" t="b">
        <f t="shared" si="13"/>
        <v>0</v>
      </c>
      <c r="K233" s="12" t="str">
        <f>Data!H232</f>
        <v>Telematics Device</v>
      </c>
      <c r="L233" s="15" t="b">
        <f t="shared" si="14"/>
        <v>1</v>
      </c>
      <c r="M233" s="14" t="str">
        <f>Data!I232</f>
        <v>Telematics device</v>
      </c>
      <c r="N233" s="15" t="str">
        <f>Data!G232</f>
        <v>265</v>
      </c>
      <c r="O233" s="15" t="b">
        <f t="shared" si="15"/>
        <v>1</v>
      </c>
      <c r="P233" s="12" t="str">
        <f>IF(Data!K232=FALSE(),"", Data!K232)</f>
        <v/>
      </c>
      <c r="Q233" s="12" t="str">
        <f>IF(Data!L232=FALSE(),"", Data!L232)</f>
        <v/>
      </c>
      <c r="R233" s="12" t="str">
        <f>IF(Data!M232=FALSE(),"", Data!M232)</f>
        <v/>
      </c>
      <c r="S233" s="12" t="str">
        <f>IF(Data!N232=FALSE(),"", Data!N232)</f>
        <v/>
      </c>
    </row>
    <row r="234" spans="1:19" ht="16.5">
      <c r="A234" s="12" t="str">
        <f>Data!A233</f>
        <v>Demo - 41</v>
      </c>
      <c r="B234" s="12" t="str">
        <f>Data!B233</f>
        <v>Vehicle, Company Group</v>
      </c>
      <c r="C234" s="12" t="str">
        <f>Data!D233</f>
        <v>b29</v>
      </c>
      <c r="D234" s="13">
        <f>Data!E233</f>
        <v>46064.690324074072</v>
      </c>
      <c r="E234" s="56">
        <f t="shared" si="12"/>
        <v>0</v>
      </c>
      <c r="F234" s="12" t="str">
        <f>Data!F233</f>
        <v>Telematics device fault: Check device installation as the accelerometer was disabled due to excessive data</v>
      </c>
      <c r="G234" s="14" t="str">
        <f>Data!A233&amp;" "&amp;Data!F233</f>
        <v>Demo - 41 Telematics device fault: Check device installation as the accelerometer was disabled due to excessive data</v>
      </c>
      <c r="H234" s="56">
        <f>IF(COUNTIF($G$10:G234,G234)&gt;1,0,1)</f>
        <v>0</v>
      </c>
      <c r="I234" s="12" t="str">
        <f>IF(L234=FALSE,Data!J233," ")</f>
        <v xml:space="preserve"> </v>
      </c>
      <c r="J234" s="15" t="b">
        <f t="shared" si="13"/>
        <v>0</v>
      </c>
      <c r="K234" s="12" t="str">
        <f>Data!H233</f>
        <v>Telematics Device</v>
      </c>
      <c r="L234" s="15" t="b">
        <f t="shared" si="14"/>
        <v>1</v>
      </c>
      <c r="M234" s="14" t="str">
        <f>Data!I233</f>
        <v>Telematics device</v>
      </c>
      <c r="N234" s="15" t="str">
        <f>Data!G233</f>
        <v>265</v>
      </c>
      <c r="O234" s="15" t="b">
        <f t="shared" si="15"/>
        <v>1</v>
      </c>
      <c r="P234" s="12" t="str">
        <f>IF(Data!K233=FALSE(),"", Data!K233)</f>
        <v/>
      </c>
      <c r="Q234" s="12" t="str">
        <f>IF(Data!L233=FALSE(),"", Data!L233)</f>
        <v/>
      </c>
      <c r="R234" s="12" t="str">
        <f>IF(Data!M233=FALSE(),"", Data!M233)</f>
        <v/>
      </c>
      <c r="S234" s="12" t="str">
        <f>IF(Data!N233=FALSE(),"", Data!N233)</f>
        <v/>
      </c>
    </row>
    <row r="235" spans="1:19" ht="16.5">
      <c r="A235" s="12" t="str">
        <f>Data!A234</f>
        <v>Demo - 41</v>
      </c>
      <c r="B235" s="12" t="str">
        <f>Data!B234</f>
        <v>Vehicle, Company Group</v>
      </c>
      <c r="C235" s="12" t="str">
        <f>Data!D234</f>
        <v>b29</v>
      </c>
      <c r="D235" s="13">
        <f>Data!E234</f>
        <v>46064.721446759257</v>
      </c>
      <c r="E235" s="56">
        <f t="shared" si="12"/>
        <v>0</v>
      </c>
      <c r="F235" s="12" t="str">
        <f>Data!F234</f>
        <v>Telematics device fault: Check device installation as the accelerometer was disabled due to excessive data</v>
      </c>
      <c r="G235" s="14" t="str">
        <f>Data!A234&amp;" "&amp;Data!F234</f>
        <v>Demo - 41 Telematics device fault: Check device installation as the accelerometer was disabled due to excessive data</v>
      </c>
      <c r="H235" s="56">
        <f>IF(COUNTIF($G$10:G235,G235)&gt;1,0,1)</f>
        <v>0</v>
      </c>
      <c r="I235" s="12" t="str">
        <f>IF(L235=FALSE,Data!J234," ")</f>
        <v xml:space="preserve"> </v>
      </c>
      <c r="J235" s="15" t="b">
        <f t="shared" si="13"/>
        <v>0</v>
      </c>
      <c r="K235" s="12" t="str">
        <f>Data!H234</f>
        <v>Telematics Device</v>
      </c>
      <c r="L235" s="15" t="b">
        <f t="shared" si="14"/>
        <v>1</v>
      </c>
      <c r="M235" s="14" t="str">
        <f>Data!I234</f>
        <v>Telematics device</v>
      </c>
      <c r="N235" s="15" t="str">
        <f>Data!G234</f>
        <v>265</v>
      </c>
      <c r="O235" s="15" t="b">
        <f t="shared" si="15"/>
        <v>1</v>
      </c>
      <c r="P235" s="12" t="str">
        <f>IF(Data!K234=FALSE(),"", Data!K234)</f>
        <v/>
      </c>
      <c r="Q235" s="12" t="str">
        <f>IF(Data!L234=FALSE(),"", Data!L234)</f>
        <v/>
      </c>
      <c r="R235" s="12" t="str">
        <f>IF(Data!M234=FALSE(),"", Data!M234)</f>
        <v/>
      </c>
      <c r="S235" s="12" t="str">
        <f>IF(Data!N234=FALSE(),"", Data!N234)</f>
        <v/>
      </c>
    </row>
    <row r="236" spans="1:19" ht="16.5">
      <c r="A236" s="12" t="str">
        <f>Data!A235</f>
        <v>Demo - 41</v>
      </c>
      <c r="B236" s="12" t="str">
        <f>Data!B235</f>
        <v>Vehicle, Company Group</v>
      </c>
      <c r="C236" s="12" t="str">
        <f>Data!D235</f>
        <v>b29</v>
      </c>
      <c r="D236" s="13">
        <f>Data!E235</f>
        <v>46064.748020833336</v>
      </c>
      <c r="E236" s="56">
        <f t="shared" si="12"/>
        <v>0</v>
      </c>
      <c r="F236" s="12" t="str">
        <f>Data!F235</f>
        <v>Telematics device fault: Check device installation as the accelerometer was disabled due to excessive data</v>
      </c>
      <c r="G236" s="14" t="str">
        <f>Data!A235&amp;" "&amp;Data!F235</f>
        <v>Demo - 41 Telematics device fault: Check device installation as the accelerometer was disabled due to excessive data</v>
      </c>
      <c r="H236" s="56">
        <f>IF(COUNTIF($G$10:G236,G236)&gt;1,0,1)</f>
        <v>0</v>
      </c>
      <c r="I236" s="12" t="str">
        <f>IF(L236=FALSE,Data!J235," ")</f>
        <v xml:space="preserve"> </v>
      </c>
      <c r="J236" s="15" t="b">
        <f t="shared" si="13"/>
        <v>0</v>
      </c>
      <c r="K236" s="12" t="str">
        <f>Data!H235</f>
        <v>Telematics Device</v>
      </c>
      <c r="L236" s="15" t="b">
        <f t="shared" si="14"/>
        <v>1</v>
      </c>
      <c r="M236" s="14" t="str">
        <f>Data!I235</f>
        <v>Telematics device</v>
      </c>
      <c r="N236" s="15" t="str">
        <f>Data!G235</f>
        <v>265</v>
      </c>
      <c r="O236" s="15" t="b">
        <f t="shared" si="15"/>
        <v>1</v>
      </c>
      <c r="P236" s="12" t="str">
        <f>IF(Data!K235=FALSE(),"", Data!K235)</f>
        <v/>
      </c>
      <c r="Q236" s="12" t="str">
        <f>IF(Data!L235=FALSE(),"", Data!L235)</f>
        <v/>
      </c>
      <c r="R236" s="12" t="str">
        <f>IF(Data!M235=FALSE(),"", Data!M235)</f>
        <v/>
      </c>
      <c r="S236" s="12" t="str">
        <f>IF(Data!N235=FALSE(),"", Data!N235)</f>
        <v/>
      </c>
    </row>
    <row r="237" spans="1:19" ht="16.5">
      <c r="A237" s="12" t="str">
        <f>Data!A236</f>
        <v>Demo - 41</v>
      </c>
      <c r="B237" s="12" t="str">
        <f>Data!B236</f>
        <v>Vehicle, Company Group</v>
      </c>
      <c r="C237" s="12" t="str">
        <f>Data!D236</f>
        <v>b29</v>
      </c>
      <c r="D237" s="13">
        <f>Data!E236</f>
        <v>46064.781377314815</v>
      </c>
      <c r="E237" s="56">
        <f t="shared" si="12"/>
        <v>0</v>
      </c>
      <c r="F237" s="12" t="str">
        <f>Data!F236</f>
        <v>Telematics device fault: Check device installation as the accelerometer was disabled due to excessive data</v>
      </c>
      <c r="G237" s="14" t="str">
        <f>Data!A236&amp;" "&amp;Data!F236</f>
        <v>Demo - 41 Telematics device fault: Check device installation as the accelerometer was disabled due to excessive data</v>
      </c>
      <c r="H237" s="56">
        <f>IF(COUNTIF($G$10:G237,G237)&gt;1,0,1)</f>
        <v>0</v>
      </c>
      <c r="I237" s="12" t="str">
        <f>IF(L237=FALSE,Data!J236," ")</f>
        <v xml:space="preserve"> </v>
      </c>
      <c r="J237" s="15" t="b">
        <f t="shared" si="13"/>
        <v>0</v>
      </c>
      <c r="K237" s="12" t="str">
        <f>Data!H236</f>
        <v>Telematics Device</v>
      </c>
      <c r="L237" s="15" t="b">
        <f t="shared" si="14"/>
        <v>1</v>
      </c>
      <c r="M237" s="14" t="str">
        <f>Data!I236</f>
        <v>Telematics device</v>
      </c>
      <c r="N237" s="15" t="str">
        <f>Data!G236</f>
        <v>265</v>
      </c>
      <c r="O237" s="15" t="b">
        <f t="shared" si="15"/>
        <v>1</v>
      </c>
      <c r="P237" s="12" t="str">
        <f>IF(Data!K236=FALSE(),"", Data!K236)</f>
        <v/>
      </c>
      <c r="Q237" s="12" t="str">
        <f>IF(Data!L236=FALSE(),"", Data!L236)</f>
        <v/>
      </c>
      <c r="R237" s="12" t="str">
        <f>IF(Data!M236=FALSE(),"", Data!M236)</f>
        <v/>
      </c>
      <c r="S237" s="12" t="str">
        <f>IF(Data!N236=FALSE(),"", Data!N236)</f>
        <v/>
      </c>
    </row>
    <row r="238" spans="1:19" ht="16.5">
      <c r="A238" s="12" t="str">
        <f>Data!A237</f>
        <v>Demo - 41</v>
      </c>
      <c r="B238" s="12" t="str">
        <f>Data!B237</f>
        <v>Vehicle, Company Group</v>
      </c>
      <c r="C238" s="12" t="str">
        <f>Data!D237</f>
        <v>b29</v>
      </c>
      <c r="D238" s="13">
        <f>Data!E237</f>
        <v>46064.805451388886</v>
      </c>
      <c r="E238" s="56">
        <f t="shared" si="12"/>
        <v>0</v>
      </c>
      <c r="F238" s="12" t="str">
        <f>Data!F237</f>
        <v>Telematics device fault: Check device installation as the accelerometer was disabled due to excessive data</v>
      </c>
      <c r="G238" s="14" t="str">
        <f>Data!A237&amp;" "&amp;Data!F237</f>
        <v>Demo - 41 Telematics device fault: Check device installation as the accelerometer was disabled due to excessive data</v>
      </c>
      <c r="H238" s="56">
        <f>IF(COUNTIF($G$10:G238,G238)&gt;1,0,1)</f>
        <v>0</v>
      </c>
      <c r="I238" s="12" t="str">
        <f>IF(L238=FALSE,Data!J237," ")</f>
        <v xml:space="preserve"> </v>
      </c>
      <c r="J238" s="15" t="b">
        <f t="shared" si="13"/>
        <v>0</v>
      </c>
      <c r="K238" s="12" t="str">
        <f>Data!H237</f>
        <v>Telematics Device</v>
      </c>
      <c r="L238" s="15" t="b">
        <f t="shared" si="14"/>
        <v>1</v>
      </c>
      <c r="M238" s="14" t="str">
        <f>Data!I237</f>
        <v>Telematics device</v>
      </c>
      <c r="N238" s="15" t="str">
        <f>Data!G237</f>
        <v>265</v>
      </c>
      <c r="O238" s="15" t="b">
        <f t="shared" si="15"/>
        <v>1</v>
      </c>
      <c r="P238" s="12" t="str">
        <f>IF(Data!K237=FALSE(),"", Data!K237)</f>
        <v/>
      </c>
      <c r="Q238" s="12" t="str">
        <f>IF(Data!L237=FALSE(),"", Data!L237)</f>
        <v/>
      </c>
      <c r="R238" s="12" t="str">
        <f>IF(Data!M237=FALSE(),"", Data!M237)</f>
        <v/>
      </c>
      <c r="S238" s="12" t="str">
        <f>IF(Data!N237=FALSE(),"", Data!N237)</f>
        <v/>
      </c>
    </row>
    <row r="239" spans="1:19" ht="16.5">
      <c r="A239" s="12" t="str">
        <f>Data!A238</f>
        <v>Demo - 41</v>
      </c>
      <c r="B239" s="12" t="str">
        <f>Data!B238</f>
        <v>Vehicle, Company Group</v>
      </c>
      <c r="C239" s="12" t="str">
        <f>Data!D238</f>
        <v>b29</v>
      </c>
      <c r="D239" s="13">
        <f>Data!E238</f>
        <v>46064.811747685184</v>
      </c>
      <c r="E239" s="56">
        <f t="shared" si="12"/>
        <v>0</v>
      </c>
      <c r="F239" s="12" t="str">
        <f>Data!F238</f>
        <v>Telematics device fault: Check device installation as the accelerometer was disabled due to excessive data</v>
      </c>
      <c r="G239" s="14" t="str">
        <f>Data!A238&amp;" "&amp;Data!F238</f>
        <v>Demo - 41 Telematics device fault: Check device installation as the accelerometer was disabled due to excessive data</v>
      </c>
      <c r="H239" s="56">
        <f>IF(COUNTIF($G$10:G239,G239)&gt;1,0,1)</f>
        <v>0</v>
      </c>
      <c r="I239" s="12" t="str">
        <f>IF(L239=FALSE,Data!J238," ")</f>
        <v xml:space="preserve"> </v>
      </c>
      <c r="J239" s="15" t="b">
        <f t="shared" si="13"/>
        <v>0</v>
      </c>
      <c r="K239" s="12" t="str">
        <f>Data!H238</f>
        <v>Telematics Device</v>
      </c>
      <c r="L239" s="15" t="b">
        <f t="shared" si="14"/>
        <v>1</v>
      </c>
      <c r="M239" s="14" t="str">
        <f>Data!I238</f>
        <v>Telematics device</v>
      </c>
      <c r="N239" s="15" t="str">
        <f>Data!G238</f>
        <v>265</v>
      </c>
      <c r="O239" s="15" t="b">
        <f t="shared" si="15"/>
        <v>1</v>
      </c>
      <c r="P239" s="12" t="str">
        <f>IF(Data!K238=FALSE(),"", Data!K238)</f>
        <v/>
      </c>
      <c r="Q239" s="12" t="str">
        <f>IF(Data!L238=FALSE(),"", Data!L238)</f>
        <v/>
      </c>
      <c r="R239" s="12" t="str">
        <f>IF(Data!M238=FALSE(),"", Data!M238)</f>
        <v/>
      </c>
      <c r="S239" s="12" t="str">
        <f>IF(Data!N238=FALSE(),"", Data!N238)</f>
        <v/>
      </c>
    </row>
    <row r="240" spans="1:19" ht="16.5">
      <c r="A240" s="12" t="str">
        <f>Data!A239</f>
        <v>Demo - 41</v>
      </c>
      <c r="B240" s="12" t="str">
        <f>Data!B239</f>
        <v>Vehicle, Company Group</v>
      </c>
      <c r="C240" s="12" t="str">
        <f>Data!D239</f>
        <v>b29</v>
      </c>
      <c r="D240" s="13">
        <f>Data!E239</f>
        <v>46064.835949074077</v>
      </c>
      <c r="E240" s="56">
        <f t="shared" si="12"/>
        <v>0</v>
      </c>
      <c r="F240" s="12" t="str">
        <f>Data!F239</f>
        <v>Telematics device fault: Check device installation as the accelerometer was disabled due to excessive data</v>
      </c>
      <c r="G240" s="14" t="str">
        <f>Data!A239&amp;" "&amp;Data!F239</f>
        <v>Demo - 41 Telematics device fault: Check device installation as the accelerometer was disabled due to excessive data</v>
      </c>
      <c r="H240" s="56">
        <f>IF(COUNTIF($G$10:G240,G240)&gt;1,0,1)</f>
        <v>0</v>
      </c>
      <c r="I240" s="12" t="str">
        <f>IF(L240=FALSE,Data!J239," ")</f>
        <v xml:space="preserve"> </v>
      </c>
      <c r="J240" s="15" t="b">
        <f t="shared" si="13"/>
        <v>0</v>
      </c>
      <c r="K240" s="12" t="str">
        <f>Data!H239</f>
        <v>Telematics Device</v>
      </c>
      <c r="L240" s="15" t="b">
        <f t="shared" si="14"/>
        <v>1</v>
      </c>
      <c r="M240" s="14" t="str">
        <f>Data!I239</f>
        <v>Telematics device</v>
      </c>
      <c r="N240" s="15" t="str">
        <f>Data!G239</f>
        <v>265</v>
      </c>
      <c r="O240" s="15" t="b">
        <f t="shared" si="15"/>
        <v>1</v>
      </c>
      <c r="P240" s="12" t="str">
        <f>IF(Data!K239=FALSE(),"", Data!K239)</f>
        <v/>
      </c>
      <c r="Q240" s="12" t="str">
        <f>IF(Data!L239=FALSE(),"", Data!L239)</f>
        <v/>
      </c>
      <c r="R240" s="12" t="str">
        <f>IF(Data!M239=FALSE(),"", Data!M239)</f>
        <v/>
      </c>
      <c r="S240" s="12" t="str">
        <f>IF(Data!N239=FALSE(),"", Data!N239)</f>
        <v/>
      </c>
    </row>
    <row r="241" spans="1:19" ht="16.5">
      <c r="A241" s="12" t="str">
        <f>Data!A240</f>
        <v>Demo - 41</v>
      </c>
      <c r="B241" s="12" t="str">
        <f>Data!B240</f>
        <v>Vehicle, Company Group</v>
      </c>
      <c r="C241" s="12" t="str">
        <f>Data!D240</f>
        <v>b29</v>
      </c>
      <c r="D241" s="13">
        <f>Data!E240</f>
        <v>46065.767569444448</v>
      </c>
      <c r="E241" s="56">
        <f t="shared" si="12"/>
        <v>0</v>
      </c>
      <c r="F241" s="12" t="str">
        <f>Data!F240</f>
        <v>Telematics device fault: Check device installation as the accelerometer was disabled due to excessive data</v>
      </c>
      <c r="G241" s="14" t="str">
        <f>Data!A240&amp;" "&amp;Data!F240</f>
        <v>Demo - 41 Telematics device fault: Check device installation as the accelerometer was disabled due to excessive data</v>
      </c>
      <c r="H241" s="56">
        <f>IF(COUNTIF($G$10:G241,G241)&gt;1,0,1)</f>
        <v>0</v>
      </c>
      <c r="I241" s="12" t="str">
        <f>IF(L241=FALSE,Data!J240," ")</f>
        <v xml:space="preserve"> </v>
      </c>
      <c r="J241" s="15" t="b">
        <f t="shared" si="13"/>
        <v>0</v>
      </c>
      <c r="K241" s="12" t="str">
        <f>Data!H240</f>
        <v>Telematics Device</v>
      </c>
      <c r="L241" s="15" t="b">
        <f t="shared" si="14"/>
        <v>1</v>
      </c>
      <c r="M241" s="14" t="str">
        <f>Data!I240</f>
        <v>Telematics device</v>
      </c>
      <c r="N241" s="15" t="str">
        <f>Data!G240</f>
        <v>265</v>
      </c>
      <c r="O241" s="15" t="b">
        <f t="shared" si="15"/>
        <v>1</v>
      </c>
      <c r="P241" s="12" t="str">
        <f>IF(Data!K240=FALSE(),"", Data!K240)</f>
        <v/>
      </c>
      <c r="Q241" s="12" t="str">
        <f>IF(Data!L240=FALSE(),"", Data!L240)</f>
        <v/>
      </c>
      <c r="R241" s="12" t="str">
        <f>IF(Data!M240=FALSE(),"", Data!M240)</f>
        <v/>
      </c>
      <c r="S241" s="12" t="str">
        <f>IF(Data!N240=FALSE(),"", Data!N240)</f>
        <v/>
      </c>
    </row>
    <row r="242" spans="1:19" ht="16.5">
      <c r="A242" s="12" t="str">
        <f>Data!A241</f>
        <v>Demo - 41</v>
      </c>
      <c r="B242" s="12" t="str">
        <f>Data!B241</f>
        <v>Vehicle, Company Group</v>
      </c>
      <c r="C242" s="12" t="str">
        <f>Data!D241</f>
        <v>b29</v>
      </c>
      <c r="D242" s="13">
        <f>Data!E241</f>
        <v>46065.815300925926</v>
      </c>
      <c r="E242" s="56">
        <f t="shared" si="12"/>
        <v>0</v>
      </c>
      <c r="F242" s="12" t="str">
        <f>Data!F241</f>
        <v>Telematics device fault: Check device installation as the accelerometer was disabled due to excessive data</v>
      </c>
      <c r="G242" s="14" t="str">
        <f>Data!A241&amp;" "&amp;Data!F241</f>
        <v>Demo - 41 Telematics device fault: Check device installation as the accelerometer was disabled due to excessive data</v>
      </c>
      <c r="H242" s="56">
        <f>IF(COUNTIF($G$10:G242,G242)&gt;1,0,1)</f>
        <v>0</v>
      </c>
      <c r="I242" s="12" t="str">
        <f>IF(L242=FALSE,Data!J241," ")</f>
        <v xml:space="preserve"> </v>
      </c>
      <c r="J242" s="15" t="b">
        <f t="shared" si="13"/>
        <v>0</v>
      </c>
      <c r="K242" s="12" t="str">
        <f>Data!H241</f>
        <v>Telematics Device</v>
      </c>
      <c r="L242" s="15" t="b">
        <f t="shared" si="14"/>
        <v>1</v>
      </c>
      <c r="M242" s="14" t="str">
        <f>Data!I241</f>
        <v>Telematics device</v>
      </c>
      <c r="N242" s="15" t="str">
        <f>Data!G241</f>
        <v>265</v>
      </c>
      <c r="O242" s="15" t="b">
        <f t="shared" si="15"/>
        <v>1</v>
      </c>
      <c r="P242" s="12" t="str">
        <f>IF(Data!K241=FALSE(),"", Data!K241)</f>
        <v/>
      </c>
      <c r="Q242" s="12" t="str">
        <f>IF(Data!L241=FALSE(),"", Data!L241)</f>
        <v/>
      </c>
      <c r="R242" s="12" t="str">
        <f>IF(Data!M241=FALSE(),"", Data!M241)</f>
        <v/>
      </c>
      <c r="S242" s="12" t="str">
        <f>IF(Data!N241=FALSE(),"", Data!N241)</f>
        <v/>
      </c>
    </row>
    <row r="243" spans="1:19" ht="16.5">
      <c r="A243" s="12" t="str">
        <f>Data!A242</f>
        <v>Demo - 41</v>
      </c>
      <c r="B243" s="12" t="str">
        <f>Data!B242</f>
        <v>Vehicle, Company Group</v>
      </c>
      <c r="C243" s="12" t="str">
        <f>Data!D242</f>
        <v>b29</v>
      </c>
      <c r="D243" s="13">
        <f>Data!E242</f>
        <v>46068.595590277779</v>
      </c>
      <c r="E243" s="56">
        <f t="shared" si="12"/>
        <v>0</v>
      </c>
      <c r="F243" s="12" t="str">
        <f>Data!F242</f>
        <v>Telematics device fault: Check device installation as the accelerometer was disabled due to excessive data</v>
      </c>
      <c r="G243" s="14" t="str">
        <f>Data!A242&amp;" "&amp;Data!F242</f>
        <v>Demo - 41 Telematics device fault: Check device installation as the accelerometer was disabled due to excessive data</v>
      </c>
      <c r="H243" s="56">
        <f>IF(COUNTIF($G$10:G243,G243)&gt;1,0,1)</f>
        <v>0</v>
      </c>
      <c r="I243" s="12" t="str">
        <f>IF(L243=FALSE,Data!J242," ")</f>
        <v xml:space="preserve"> </v>
      </c>
      <c r="J243" s="15" t="b">
        <f t="shared" si="13"/>
        <v>0</v>
      </c>
      <c r="K243" s="12" t="str">
        <f>Data!H242</f>
        <v>Telematics Device</v>
      </c>
      <c r="L243" s="15" t="b">
        <f t="shared" si="14"/>
        <v>1</v>
      </c>
      <c r="M243" s="14" t="str">
        <f>Data!I242</f>
        <v>Telematics device</v>
      </c>
      <c r="N243" s="15" t="str">
        <f>Data!G242</f>
        <v>265</v>
      </c>
      <c r="O243" s="15" t="b">
        <f t="shared" si="15"/>
        <v>1</v>
      </c>
      <c r="P243" s="12" t="str">
        <f>IF(Data!K242=FALSE(),"", Data!K242)</f>
        <v/>
      </c>
      <c r="Q243" s="12" t="str">
        <f>IF(Data!L242=FALSE(),"", Data!L242)</f>
        <v/>
      </c>
      <c r="R243" s="12" t="str">
        <f>IF(Data!M242=FALSE(),"", Data!M242)</f>
        <v/>
      </c>
      <c r="S243" s="12" t="str">
        <f>IF(Data!N242=FALSE(),"", Data!N242)</f>
        <v/>
      </c>
    </row>
    <row r="244" spans="1:19" ht="16.5">
      <c r="A244" s="12" t="str">
        <f>Data!A243</f>
        <v>Demo - 41</v>
      </c>
      <c r="B244" s="12" t="str">
        <f>Data!B243</f>
        <v>Vehicle, Company Group</v>
      </c>
      <c r="C244" s="12" t="str">
        <f>Data!D243</f>
        <v>b29</v>
      </c>
      <c r="D244" s="13">
        <f>Data!E243</f>
        <v>46068.638310185182</v>
      </c>
      <c r="E244" s="56">
        <f t="shared" si="12"/>
        <v>0</v>
      </c>
      <c r="F244" s="12" t="str">
        <f>Data!F243</f>
        <v>Telematics device fault: Check device installation as the accelerometer was disabled due to excessive data</v>
      </c>
      <c r="G244" s="14" t="str">
        <f>Data!A243&amp;" "&amp;Data!F243</f>
        <v>Demo - 41 Telematics device fault: Check device installation as the accelerometer was disabled due to excessive data</v>
      </c>
      <c r="H244" s="56">
        <f>IF(COUNTIF($G$10:G244,G244)&gt;1,0,1)</f>
        <v>0</v>
      </c>
      <c r="I244" s="12" t="str">
        <f>IF(L244=FALSE,Data!J243," ")</f>
        <v xml:space="preserve"> </v>
      </c>
      <c r="J244" s="15" t="b">
        <f t="shared" si="13"/>
        <v>0</v>
      </c>
      <c r="K244" s="12" t="str">
        <f>Data!H243</f>
        <v>Telematics Device</v>
      </c>
      <c r="L244" s="15" t="b">
        <f t="shared" si="14"/>
        <v>1</v>
      </c>
      <c r="M244" s="14" t="str">
        <f>Data!I243</f>
        <v>Telematics device</v>
      </c>
      <c r="N244" s="15" t="str">
        <f>Data!G243</f>
        <v>265</v>
      </c>
      <c r="O244" s="15" t="b">
        <f t="shared" si="15"/>
        <v>1</v>
      </c>
      <c r="P244" s="12" t="str">
        <f>IF(Data!K243=FALSE(),"", Data!K243)</f>
        <v/>
      </c>
      <c r="Q244" s="12" t="str">
        <f>IF(Data!L243=FALSE(),"", Data!L243)</f>
        <v/>
      </c>
      <c r="R244" s="12" t="str">
        <f>IF(Data!M243=FALSE(),"", Data!M243)</f>
        <v/>
      </c>
      <c r="S244" s="12" t="str">
        <f>IF(Data!N243=FALSE(),"", Data!N243)</f>
        <v/>
      </c>
    </row>
    <row r="245" spans="1:19" ht="16.5">
      <c r="A245" s="12" t="str">
        <f>Data!A244</f>
        <v>Demo - 41</v>
      </c>
      <c r="B245" s="12" t="str">
        <f>Data!B244</f>
        <v>Vehicle, Company Group</v>
      </c>
      <c r="C245" s="12" t="str">
        <f>Data!D244</f>
        <v>b29</v>
      </c>
      <c r="D245" s="13">
        <f>Data!E244</f>
        <v>46068.676238425927</v>
      </c>
      <c r="E245" s="56">
        <f t="shared" si="12"/>
        <v>0</v>
      </c>
      <c r="F245" s="12" t="str">
        <f>Data!F244</f>
        <v>Telematics device fault: Check device installation as the accelerometer was disabled due to excessive data</v>
      </c>
      <c r="G245" s="14" t="str">
        <f>Data!A244&amp;" "&amp;Data!F244</f>
        <v>Demo - 41 Telematics device fault: Check device installation as the accelerometer was disabled due to excessive data</v>
      </c>
      <c r="H245" s="56">
        <f>IF(COUNTIF($G$10:G245,G245)&gt;1,0,1)</f>
        <v>0</v>
      </c>
      <c r="I245" s="12" t="str">
        <f>IF(L245=FALSE,Data!J244," ")</f>
        <v xml:space="preserve"> </v>
      </c>
      <c r="J245" s="15" t="b">
        <f t="shared" si="13"/>
        <v>0</v>
      </c>
      <c r="K245" s="12" t="str">
        <f>Data!H244</f>
        <v>Telematics Device</v>
      </c>
      <c r="L245" s="15" t="b">
        <f t="shared" si="14"/>
        <v>1</v>
      </c>
      <c r="M245" s="14" t="str">
        <f>Data!I244</f>
        <v>Telematics device</v>
      </c>
      <c r="N245" s="15" t="str">
        <f>Data!G244</f>
        <v>265</v>
      </c>
      <c r="O245" s="15" t="b">
        <f t="shared" si="15"/>
        <v>1</v>
      </c>
      <c r="P245" s="12" t="str">
        <f>IF(Data!K244=FALSE(),"", Data!K244)</f>
        <v/>
      </c>
      <c r="Q245" s="12" t="str">
        <f>IF(Data!L244=FALSE(),"", Data!L244)</f>
        <v/>
      </c>
      <c r="R245" s="12" t="str">
        <f>IF(Data!M244=FALSE(),"", Data!M244)</f>
        <v/>
      </c>
      <c r="S245" s="12" t="str">
        <f>IF(Data!N244=FALSE(),"", Data!N244)</f>
        <v/>
      </c>
    </row>
    <row r="246" spans="1:19" ht="16.5">
      <c r="A246" s="12" t="str">
        <f>Data!A245</f>
        <v>Demo - 41</v>
      </c>
      <c r="B246" s="12" t="str">
        <f>Data!B245</f>
        <v>Vehicle, Company Group</v>
      </c>
      <c r="C246" s="12" t="str">
        <f>Data!D245</f>
        <v>b29</v>
      </c>
      <c r="D246" s="13">
        <f>Data!E245</f>
        <v>46068.684895833336</v>
      </c>
      <c r="E246" s="56">
        <f t="shared" si="12"/>
        <v>0</v>
      </c>
      <c r="F246" s="12" t="str">
        <f>Data!F245</f>
        <v>Telematics device fault: Check device installation as the accelerometer was disabled due to excessive data</v>
      </c>
      <c r="G246" s="14" t="str">
        <f>Data!A245&amp;" "&amp;Data!F245</f>
        <v>Demo - 41 Telematics device fault: Check device installation as the accelerometer was disabled due to excessive data</v>
      </c>
      <c r="H246" s="56">
        <f>IF(COUNTIF($G$10:G246,G246)&gt;1,0,1)</f>
        <v>0</v>
      </c>
      <c r="I246" s="12" t="str">
        <f>IF(L246=FALSE,Data!J245," ")</f>
        <v xml:space="preserve"> </v>
      </c>
      <c r="J246" s="15" t="b">
        <f t="shared" si="13"/>
        <v>0</v>
      </c>
      <c r="K246" s="12" t="str">
        <f>Data!H245</f>
        <v>Telematics Device</v>
      </c>
      <c r="L246" s="15" t="b">
        <f t="shared" si="14"/>
        <v>1</v>
      </c>
      <c r="M246" s="14" t="str">
        <f>Data!I245</f>
        <v>Telematics device</v>
      </c>
      <c r="N246" s="15" t="str">
        <f>Data!G245</f>
        <v>265</v>
      </c>
      <c r="O246" s="15" t="b">
        <f t="shared" si="15"/>
        <v>1</v>
      </c>
      <c r="P246" s="12" t="str">
        <f>IF(Data!K245=FALSE(),"", Data!K245)</f>
        <v/>
      </c>
      <c r="Q246" s="12" t="str">
        <f>IF(Data!L245=FALSE(),"", Data!L245)</f>
        <v/>
      </c>
      <c r="R246" s="12" t="str">
        <f>IF(Data!M245=FALSE(),"", Data!M245)</f>
        <v/>
      </c>
      <c r="S246" s="12" t="str">
        <f>IF(Data!N245=FALSE(),"", Data!N245)</f>
        <v/>
      </c>
    </row>
    <row r="247" spans="1:19" ht="16.5">
      <c r="A247" s="12" t="str">
        <f>Data!A246</f>
        <v>Demo - 41</v>
      </c>
      <c r="B247" s="12" t="str">
        <f>Data!B246</f>
        <v>Vehicle, Company Group</v>
      </c>
      <c r="C247" s="12" t="str">
        <f>Data!D246</f>
        <v>b29</v>
      </c>
      <c r="D247" s="13">
        <f>Data!E246</f>
        <v>46068.699965277781</v>
      </c>
      <c r="E247" s="56">
        <f t="shared" si="12"/>
        <v>0</v>
      </c>
      <c r="F247" s="12" t="str">
        <f>Data!F246</f>
        <v>Telematics device fault: Check device installation as the accelerometer was disabled due to excessive data</v>
      </c>
      <c r="G247" s="14" t="str">
        <f>Data!A246&amp;" "&amp;Data!F246</f>
        <v>Demo - 41 Telematics device fault: Check device installation as the accelerometer was disabled due to excessive data</v>
      </c>
      <c r="H247" s="56">
        <f>IF(COUNTIF($G$10:G247,G247)&gt;1,0,1)</f>
        <v>0</v>
      </c>
      <c r="I247" s="12" t="str">
        <f>IF(L247=FALSE,Data!J246," ")</f>
        <v xml:space="preserve"> </v>
      </c>
      <c r="J247" s="15" t="b">
        <f t="shared" si="13"/>
        <v>0</v>
      </c>
      <c r="K247" s="12" t="str">
        <f>Data!H246</f>
        <v>Telematics Device</v>
      </c>
      <c r="L247" s="15" t="b">
        <f t="shared" si="14"/>
        <v>1</v>
      </c>
      <c r="M247" s="14" t="str">
        <f>Data!I246</f>
        <v>Telematics device</v>
      </c>
      <c r="N247" s="15" t="str">
        <f>Data!G246</f>
        <v>265</v>
      </c>
      <c r="O247" s="15" t="b">
        <f t="shared" si="15"/>
        <v>1</v>
      </c>
      <c r="P247" s="12" t="str">
        <f>IF(Data!K246=FALSE(),"", Data!K246)</f>
        <v/>
      </c>
      <c r="Q247" s="12" t="str">
        <f>IF(Data!L246=FALSE(),"", Data!L246)</f>
        <v/>
      </c>
      <c r="R247" s="12" t="str">
        <f>IF(Data!M246=FALSE(),"", Data!M246)</f>
        <v/>
      </c>
      <c r="S247" s="12" t="str">
        <f>IF(Data!N246=FALSE(),"", Data!N246)</f>
        <v/>
      </c>
    </row>
    <row r="248" spans="1:19" ht="16.5">
      <c r="A248" s="12" t="str">
        <f>Data!A247</f>
        <v>Demo - 41</v>
      </c>
      <c r="B248" s="12" t="str">
        <f>Data!B247</f>
        <v>Vehicle, Company Group</v>
      </c>
      <c r="C248" s="12" t="str">
        <f>Data!D247</f>
        <v>b29</v>
      </c>
      <c r="D248" s="13">
        <f>Data!E247</f>
        <v>46068.711053240739</v>
      </c>
      <c r="E248" s="56">
        <f t="shared" si="12"/>
        <v>0</v>
      </c>
      <c r="F248" s="12" t="str">
        <f>Data!F247</f>
        <v>Telematics device fault: Check device installation as the accelerometer was disabled due to excessive data</v>
      </c>
      <c r="G248" s="14" t="str">
        <f>Data!A247&amp;" "&amp;Data!F247</f>
        <v>Demo - 41 Telematics device fault: Check device installation as the accelerometer was disabled due to excessive data</v>
      </c>
      <c r="H248" s="56">
        <f>IF(COUNTIF($G$10:G248,G248)&gt;1,0,1)</f>
        <v>0</v>
      </c>
      <c r="I248" s="12" t="str">
        <f>IF(L248=FALSE,Data!J247," ")</f>
        <v xml:space="preserve"> </v>
      </c>
      <c r="J248" s="15" t="b">
        <f t="shared" si="13"/>
        <v>0</v>
      </c>
      <c r="K248" s="12" t="str">
        <f>Data!H247</f>
        <v>Telematics Device</v>
      </c>
      <c r="L248" s="15" t="b">
        <f t="shared" si="14"/>
        <v>1</v>
      </c>
      <c r="M248" s="14" t="str">
        <f>Data!I247</f>
        <v>Telematics device</v>
      </c>
      <c r="N248" s="15" t="str">
        <f>Data!G247</f>
        <v>265</v>
      </c>
      <c r="O248" s="15" t="b">
        <f t="shared" si="15"/>
        <v>1</v>
      </c>
      <c r="P248" s="12" t="str">
        <f>IF(Data!K247=FALSE(),"", Data!K247)</f>
        <v/>
      </c>
      <c r="Q248" s="12" t="str">
        <f>IF(Data!L247=FALSE(),"", Data!L247)</f>
        <v/>
      </c>
      <c r="R248" s="12" t="str">
        <f>IF(Data!M247=FALSE(),"", Data!M247)</f>
        <v/>
      </c>
      <c r="S248" s="12" t="str">
        <f>IF(Data!N247=FALSE(),"", Data!N247)</f>
        <v/>
      </c>
    </row>
    <row r="249" spans="1:19" ht="16.5">
      <c r="A249" s="12" t="str">
        <f>Data!A248</f>
        <v>Demo - 41</v>
      </c>
      <c r="B249" s="12" t="str">
        <f>Data!B248</f>
        <v>Vehicle, Company Group</v>
      </c>
      <c r="C249" s="12" t="str">
        <f>Data!D248</f>
        <v>b29</v>
      </c>
      <c r="D249" s="13">
        <f>Data!E248</f>
        <v>46068.788136574076</v>
      </c>
      <c r="E249" s="56">
        <f t="shared" si="12"/>
        <v>0</v>
      </c>
      <c r="F249" s="12" t="str">
        <f>Data!F248</f>
        <v>Telematics device fault: Check device installation as the accelerometer was disabled due to excessive data</v>
      </c>
      <c r="G249" s="14" t="str">
        <f>Data!A248&amp;" "&amp;Data!F248</f>
        <v>Demo - 41 Telematics device fault: Check device installation as the accelerometer was disabled due to excessive data</v>
      </c>
      <c r="H249" s="56">
        <f>IF(COUNTIF($G$10:G249,G249)&gt;1,0,1)</f>
        <v>0</v>
      </c>
      <c r="I249" s="12" t="str">
        <f>IF(L249=FALSE,Data!J248," ")</f>
        <v xml:space="preserve"> </v>
      </c>
      <c r="J249" s="15" t="b">
        <f t="shared" si="13"/>
        <v>0</v>
      </c>
      <c r="K249" s="12" t="str">
        <f>Data!H248</f>
        <v>Telematics Device</v>
      </c>
      <c r="L249" s="15" t="b">
        <f t="shared" si="14"/>
        <v>1</v>
      </c>
      <c r="M249" s="14" t="str">
        <f>Data!I248</f>
        <v>Telematics device</v>
      </c>
      <c r="N249" s="15" t="str">
        <f>Data!G248</f>
        <v>265</v>
      </c>
      <c r="O249" s="15" t="b">
        <f t="shared" si="15"/>
        <v>1</v>
      </c>
      <c r="P249" s="12" t="str">
        <f>IF(Data!K248=FALSE(),"", Data!K248)</f>
        <v/>
      </c>
      <c r="Q249" s="12" t="str">
        <f>IF(Data!L248=FALSE(),"", Data!L248)</f>
        <v/>
      </c>
      <c r="R249" s="12" t="str">
        <f>IF(Data!M248=FALSE(),"", Data!M248)</f>
        <v/>
      </c>
      <c r="S249" s="12" t="str">
        <f>IF(Data!N248=FALSE(),"", Data!N248)</f>
        <v/>
      </c>
    </row>
    <row r="250" spans="1:19" ht="16.5">
      <c r="A250" s="12" t="str">
        <f>Data!A249</f>
        <v>Demo - 41</v>
      </c>
      <c r="B250" s="12" t="str">
        <f>Data!B249</f>
        <v>Vehicle, Company Group</v>
      </c>
      <c r="C250" s="12" t="str">
        <f>Data!D249</f>
        <v>b29</v>
      </c>
      <c r="D250" s="13">
        <f>Data!E249</f>
        <v>46068.804664351854</v>
      </c>
      <c r="E250" s="56">
        <f t="shared" si="12"/>
        <v>0</v>
      </c>
      <c r="F250" s="12" t="str">
        <f>Data!F249</f>
        <v>Telematics device fault: Check device installation as the accelerometer was disabled due to excessive data</v>
      </c>
      <c r="G250" s="14" t="str">
        <f>Data!A249&amp;" "&amp;Data!F249</f>
        <v>Demo - 41 Telematics device fault: Check device installation as the accelerometer was disabled due to excessive data</v>
      </c>
      <c r="H250" s="56">
        <f>IF(COUNTIF($G$10:G250,G250)&gt;1,0,1)</f>
        <v>0</v>
      </c>
      <c r="I250" s="12" t="str">
        <f>IF(L250=FALSE,Data!J249," ")</f>
        <v xml:space="preserve"> </v>
      </c>
      <c r="J250" s="15" t="b">
        <f t="shared" si="13"/>
        <v>0</v>
      </c>
      <c r="K250" s="12" t="str">
        <f>Data!H249</f>
        <v>Telematics Device</v>
      </c>
      <c r="L250" s="15" t="b">
        <f t="shared" si="14"/>
        <v>1</v>
      </c>
      <c r="M250" s="14" t="str">
        <f>Data!I249</f>
        <v>Telematics device</v>
      </c>
      <c r="N250" s="15" t="str">
        <f>Data!G249</f>
        <v>265</v>
      </c>
      <c r="O250" s="15" t="b">
        <f t="shared" si="15"/>
        <v>1</v>
      </c>
      <c r="P250" s="12" t="str">
        <f>IF(Data!K249=FALSE(),"", Data!K249)</f>
        <v/>
      </c>
      <c r="Q250" s="12" t="str">
        <f>IF(Data!L249=FALSE(),"", Data!L249)</f>
        <v/>
      </c>
      <c r="R250" s="12" t="str">
        <f>IF(Data!M249=FALSE(),"", Data!M249)</f>
        <v/>
      </c>
      <c r="S250" s="12" t="str">
        <f>IF(Data!N249=FALSE(),"", Data!N249)</f>
        <v/>
      </c>
    </row>
    <row r="251" spans="1:19" ht="16.5">
      <c r="A251" s="12" t="str">
        <f>Data!A250</f>
        <v>Demo - 41</v>
      </c>
      <c r="B251" s="12" t="str">
        <f>Data!B250</f>
        <v>Vehicle, Company Group</v>
      </c>
      <c r="C251" s="12" t="str">
        <f>Data!D250</f>
        <v>b29</v>
      </c>
      <c r="D251" s="13">
        <f>Data!E250</f>
        <v>46069.601875</v>
      </c>
      <c r="E251" s="56">
        <f t="shared" si="12"/>
        <v>0</v>
      </c>
      <c r="F251" s="12" t="str">
        <f>Data!F250</f>
        <v>Telematics device fault: Check device installation as the accelerometer was disabled due to excessive data</v>
      </c>
      <c r="G251" s="14" t="str">
        <f>Data!A250&amp;" "&amp;Data!F250</f>
        <v>Demo - 41 Telematics device fault: Check device installation as the accelerometer was disabled due to excessive data</v>
      </c>
      <c r="H251" s="56">
        <f>IF(COUNTIF($G$10:G251,G251)&gt;1,0,1)</f>
        <v>0</v>
      </c>
      <c r="I251" s="12" t="str">
        <f>IF(L251=FALSE,Data!J250," ")</f>
        <v xml:space="preserve"> </v>
      </c>
      <c r="J251" s="15" t="b">
        <f t="shared" si="13"/>
        <v>0</v>
      </c>
      <c r="K251" s="12" t="str">
        <f>Data!H250</f>
        <v>Telematics Device</v>
      </c>
      <c r="L251" s="15" t="b">
        <f t="shared" si="14"/>
        <v>1</v>
      </c>
      <c r="M251" s="14" t="str">
        <f>Data!I250</f>
        <v>Telematics device</v>
      </c>
      <c r="N251" s="15" t="str">
        <f>Data!G250</f>
        <v>265</v>
      </c>
      <c r="O251" s="15" t="b">
        <f t="shared" si="15"/>
        <v>1</v>
      </c>
      <c r="P251" s="12" t="str">
        <f>IF(Data!K250=FALSE(),"", Data!K250)</f>
        <v/>
      </c>
      <c r="Q251" s="12" t="str">
        <f>IF(Data!L250=FALSE(),"", Data!L250)</f>
        <v/>
      </c>
      <c r="R251" s="12" t="str">
        <f>IF(Data!M250=FALSE(),"", Data!M250)</f>
        <v/>
      </c>
      <c r="S251" s="12" t="str">
        <f>IF(Data!N250=FALSE(),"", Data!N250)</f>
        <v/>
      </c>
    </row>
    <row r="252" spans="1:19" ht="16.5">
      <c r="A252" s="12" t="str">
        <f>Data!A251</f>
        <v>Demo - 41</v>
      </c>
      <c r="B252" s="12" t="str">
        <f>Data!B251</f>
        <v>Vehicle, Company Group</v>
      </c>
      <c r="C252" s="12" t="str">
        <f>Data!D251</f>
        <v>b29</v>
      </c>
      <c r="D252" s="13">
        <f>Data!E251</f>
        <v>46070.490358796298</v>
      </c>
      <c r="E252" s="56">
        <f t="shared" si="12"/>
        <v>0</v>
      </c>
      <c r="F252" s="12" t="str">
        <f>Data!F251</f>
        <v>Telematics device fault: Check device installation as the accelerometer was disabled due to excessive data</v>
      </c>
      <c r="G252" s="14" t="str">
        <f>Data!A251&amp;" "&amp;Data!F251</f>
        <v>Demo - 41 Telematics device fault: Check device installation as the accelerometer was disabled due to excessive data</v>
      </c>
      <c r="H252" s="56">
        <f>IF(COUNTIF($G$10:G252,G252)&gt;1,0,1)</f>
        <v>0</v>
      </c>
      <c r="I252" s="12" t="str">
        <f>IF(L252=FALSE,Data!J251," ")</f>
        <v xml:space="preserve"> </v>
      </c>
      <c r="J252" s="15" t="b">
        <f t="shared" si="13"/>
        <v>0</v>
      </c>
      <c r="K252" s="12" t="str">
        <f>Data!H251</f>
        <v>Telematics Device</v>
      </c>
      <c r="L252" s="15" t="b">
        <f t="shared" si="14"/>
        <v>1</v>
      </c>
      <c r="M252" s="14" t="str">
        <f>Data!I251</f>
        <v>Telematics device</v>
      </c>
      <c r="N252" s="15" t="str">
        <f>Data!G251</f>
        <v>265</v>
      </c>
      <c r="O252" s="15" t="b">
        <f t="shared" si="15"/>
        <v>1</v>
      </c>
      <c r="P252" s="12" t="str">
        <f>IF(Data!K251=FALSE(),"", Data!K251)</f>
        <v/>
      </c>
      <c r="Q252" s="12" t="str">
        <f>IF(Data!L251=FALSE(),"", Data!L251)</f>
        <v/>
      </c>
      <c r="R252" s="12" t="str">
        <f>IF(Data!M251=FALSE(),"", Data!M251)</f>
        <v/>
      </c>
      <c r="S252" s="12" t="str">
        <f>IF(Data!N251=FALSE(),"", Data!N251)</f>
        <v/>
      </c>
    </row>
    <row r="253" spans="1:19" ht="16.5">
      <c r="A253" s="12" t="str">
        <f>Data!A252</f>
        <v>Demo - 41</v>
      </c>
      <c r="B253" s="12" t="str">
        <f>Data!B252</f>
        <v>Vehicle, Company Group</v>
      </c>
      <c r="C253" s="12" t="str">
        <f>Data!D252</f>
        <v>b29</v>
      </c>
      <c r="D253" s="13">
        <f>Data!E252</f>
        <v>46070.577615740738</v>
      </c>
      <c r="E253" s="56">
        <f t="shared" si="12"/>
        <v>0</v>
      </c>
      <c r="F253" s="12" t="str">
        <f>Data!F252</f>
        <v>Telematics device fault: Check device installation as the accelerometer was disabled due to excessive data</v>
      </c>
      <c r="G253" s="14" t="str">
        <f>Data!A252&amp;" "&amp;Data!F252</f>
        <v>Demo - 41 Telematics device fault: Check device installation as the accelerometer was disabled due to excessive data</v>
      </c>
      <c r="H253" s="56">
        <f>IF(COUNTIF($G$10:G253,G253)&gt;1,0,1)</f>
        <v>0</v>
      </c>
      <c r="I253" s="12" t="str">
        <f>IF(L253=FALSE,Data!J252," ")</f>
        <v xml:space="preserve"> </v>
      </c>
      <c r="J253" s="15" t="b">
        <f t="shared" si="13"/>
        <v>0</v>
      </c>
      <c r="K253" s="12" t="str">
        <f>Data!H252</f>
        <v>Telematics Device</v>
      </c>
      <c r="L253" s="15" t="b">
        <f t="shared" si="14"/>
        <v>1</v>
      </c>
      <c r="M253" s="14" t="str">
        <f>Data!I252</f>
        <v>Telematics device</v>
      </c>
      <c r="N253" s="15" t="str">
        <f>Data!G252</f>
        <v>265</v>
      </c>
      <c r="O253" s="15" t="b">
        <f t="shared" si="15"/>
        <v>1</v>
      </c>
      <c r="P253" s="12" t="str">
        <f>IF(Data!K252=FALSE(),"", Data!K252)</f>
        <v/>
      </c>
      <c r="Q253" s="12" t="str">
        <f>IF(Data!L252=FALSE(),"", Data!L252)</f>
        <v/>
      </c>
      <c r="R253" s="12" t="str">
        <f>IF(Data!M252=FALSE(),"", Data!M252)</f>
        <v/>
      </c>
      <c r="S253" s="12" t="str">
        <f>IF(Data!N252=FALSE(),"", Data!N252)</f>
        <v/>
      </c>
    </row>
    <row r="254" spans="1:19" ht="16.5">
      <c r="A254" s="12" t="str">
        <f>Data!A253</f>
        <v>Demo - 41</v>
      </c>
      <c r="B254" s="12" t="str">
        <f>Data!B253</f>
        <v>Vehicle, Company Group</v>
      </c>
      <c r="C254" s="12" t="str">
        <f>Data!D253</f>
        <v>b29</v>
      </c>
      <c r="D254" s="13">
        <f>Data!E253</f>
        <v>46070.600451388891</v>
      </c>
      <c r="E254" s="56">
        <f t="shared" si="12"/>
        <v>0</v>
      </c>
      <c r="F254" s="12" t="str">
        <f>Data!F253</f>
        <v>Telematics device fault: Check device installation as the accelerometer was disabled due to excessive data</v>
      </c>
      <c r="G254" s="14" t="str">
        <f>Data!A253&amp;" "&amp;Data!F253</f>
        <v>Demo - 41 Telematics device fault: Check device installation as the accelerometer was disabled due to excessive data</v>
      </c>
      <c r="H254" s="56">
        <f>IF(COUNTIF($G$10:G254,G254)&gt;1,0,1)</f>
        <v>0</v>
      </c>
      <c r="I254" s="12" t="str">
        <f>IF(L254=FALSE,Data!J253," ")</f>
        <v xml:space="preserve"> </v>
      </c>
      <c r="J254" s="15" t="b">
        <f t="shared" si="13"/>
        <v>0</v>
      </c>
      <c r="K254" s="12" t="str">
        <f>Data!H253</f>
        <v>Telematics Device</v>
      </c>
      <c r="L254" s="15" t="b">
        <f t="shared" si="14"/>
        <v>1</v>
      </c>
      <c r="M254" s="14" t="str">
        <f>Data!I253</f>
        <v>Telematics device</v>
      </c>
      <c r="N254" s="15" t="str">
        <f>Data!G253</f>
        <v>265</v>
      </c>
      <c r="O254" s="15" t="b">
        <f t="shared" si="15"/>
        <v>1</v>
      </c>
      <c r="P254" s="12" t="str">
        <f>IF(Data!K253=FALSE(),"", Data!K253)</f>
        <v/>
      </c>
      <c r="Q254" s="12" t="str">
        <f>IF(Data!L253=FALSE(),"", Data!L253)</f>
        <v/>
      </c>
      <c r="R254" s="12" t="str">
        <f>IF(Data!M253=FALSE(),"", Data!M253)</f>
        <v/>
      </c>
      <c r="S254" s="12" t="str">
        <f>IF(Data!N253=FALSE(),"", Data!N253)</f>
        <v/>
      </c>
    </row>
    <row r="255" spans="1:19" ht="16.5">
      <c r="A255" s="12" t="str">
        <f>Data!A254</f>
        <v>Demo - 41</v>
      </c>
      <c r="B255" s="12" t="str">
        <f>Data!B254</f>
        <v>Vehicle, Company Group</v>
      </c>
      <c r="C255" s="12" t="str">
        <f>Data!D254</f>
        <v>b29</v>
      </c>
      <c r="D255" s="13">
        <f>Data!E254</f>
        <v>46070.624513888892</v>
      </c>
      <c r="E255" s="56">
        <f t="shared" si="12"/>
        <v>0</v>
      </c>
      <c r="F255" s="12" t="str">
        <f>Data!F254</f>
        <v>Telematics device fault: Check device installation as the accelerometer was disabled due to excessive data</v>
      </c>
      <c r="G255" s="14" t="str">
        <f>Data!A254&amp;" "&amp;Data!F254</f>
        <v>Demo - 41 Telematics device fault: Check device installation as the accelerometer was disabled due to excessive data</v>
      </c>
      <c r="H255" s="56">
        <f>IF(COUNTIF($G$10:G255,G255)&gt;1,0,1)</f>
        <v>0</v>
      </c>
      <c r="I255" s="12" t="str">
        <f>IF(L255=FALSE,Data!J254," ")</f>
        <v xml:space="preserve"> </v>
      </c>
      <c r="J255" s="15" t="b">
        <f t="shared" si="13"/>
        <v>0</v>
      </c>
      <c r="K255" s="12" t="str">
        <f>Data!H254</f>
        <v>Telematics Device</v>
      </c>
      <c r="L255" s="15" t="b">
        <f t="shared" si="14"/>
        <v>1</v>
      </c>
      <c r="M255" s="14" t="str">
        <f>Data!I254</f>
        <v>Telematics device</v>
      </c>
      <c r="N255" s="15" t="str">
        <f>Data!G254</f>
        <v>265</v>
      </c>
      <c r="O255" s="15" t="b">
        <f t="shared" si="15"/>
        <v>1</v>
      </c>
      <c r="P255" s="12" t="str">
        <f>IF(Data!K254=FALSE(),"", Data!K254)</f>
        <v/>
      </c>
      <c r="Q255" s="12" t="str">
        <f>IF(Data!L254=FALSE(),"", Data!L254)</f>
        <v/>
      </c>
      <c r="R255" s="12" t="str">
        <f>IF(Data!M254=FALSE(),"", Data!M254)</f>
        <v/>
      </c>
      <c r="S255" s="12" t="str">
        <f>IF(Data!N254=FALSE(),"", Data!N254)</f>
        <v/>
      </c>
    </row>
    <row r="256" spans="1:19" ht="16.5">
      <c r="A256" s="12" t="str">
        <f>Data!A255</f>
        <v>Demo - 41</v>
      </c>
      <c r="B256" s="12" t="str">
        <f>Data!B255</f>
        <v>Vehicle, Company Group</v>
      </c>
      <c r="C256" s="12" t="str">
        <f>Data!D255</f>
        <v>b29</v>
      </c>
      <c r="D256" s="13">
        <f>Data!E255</f>
        <v>46070.653773148151</v>
      </c>
      <c r="E256" s="56">
        <f t="shared" si="12"/>
        <v>0</v>
      </c>
      <c r="F256" s="12" t="str">
        <f>Data!F255</f>
        <v>Telematics device fault: Check device installation as the accelerometer was disabled due to excessive data</v>
      </c>
      <c r="G256" s="14" t="str">
        <f>Data!A255&amp;" "&amp;Data!F255</f>
        <v>Demo - 41 Telematics device fault: Check device installation as the accelerometer was disabled due to excessive data</v>
      </c>
      <c r="H256" s="56">
        <f>IF(COUNTIF($G$10:G256,G256)&gt;1,0,1)</f>
        <v>0</v>
      </c>
      <c r="I256" s="12" t="str">
        <f>IF(L256=FALSE,Data!J255," ")</f>
        <v xml:space="preserve"> </v>
      </c>
      <c r="J256" s="15" t="b">
        <f t="shared" si="13"/>
        <v>0</v>
      </c>
      <c r="K256" s="12" t="str">
        <f>Data!H255</f>
        <v>Telematics Device</v>
      </c>
      <c r="L256" s="15" t="b">
        <f t="shared" si="14"/>
        <v>1</v>
      </c>
      <c r="M256" s="14" t="str">
        <f>Data!I255</f>
        <v>Telematics device</v>
      </c>
      <c r="N256" s="15" t="str">
        <f>Data!G255</f>
        <v>265</v>
      </c>
      <c r="O256" s="15" t="b">
        <f t="shared" si="15"/>
        <v>1</v>
      </c>
      <c r="P256" s="12" t="str">
        <f>IF(Data!K255=FALSE(),"", Data!K255)</f>
        <v/>
      </c>
      <c r="Q256" s="12" t="str">
        <f>IF(Data!L255=FALSE(),"", Data!L255)</f>
        <v/>
      </c>
      <c r="R256" s="12" t="str">
        <f>IF(Data!M255=FALSE(),"", Data!M255)</f>
        <v/>
      </c>
      <c r="S256" s="12" t="str">
        <f>IF(Data!N255=FALSE(),"", Data!N255)</f>
        <v/>
      </c>
    </row>
    <row r="257" spans="1:19" ht="16.5">
      <c r="A257" s="12" t="str">
        <f>Data!A256</f>
        <v>Demo - 41</v>
      </c>
      <c r="B257" s="12" t="str">
        <f>Data!B256</f>
        <v>Vehicle, Company Group</v>
      </c>
      <c r="C257" s="12" t="str">
        <f>Data!D256</f>
        <v>b29</v>
      </c>
      <c r="D257" s="13">
        <f>Data!E256</f>
        <v>46070.682233796295</v>
      </c>
      <c r="E257" s="56">
        <f t="shared" si="12"/>
        <v>0</v>
      </c>
      <c r="F257" s="12" t="str">
        <f>Data!F256</f>
        <v>Telematics device fault: Check device installation as the accelerometer was disabled due to excessive data</v>
      </c>
      <c r="G257" s="14" t="str">
        <f>Data!A256&amp;" "&amp;Data!F256</f>
        <v>Demo - 41 Telematics device fault: Check device installation as the accelerometer was disabled due to excessive data</v>
      </c>
      <c r="H257" s="56">
        <f>IF(COUNTIF($G$10:G257,G257)&gt;1,0,1)</f>
        <v>0</v>
      </c>
      <c r="I257" s="12" t="str">
        <f>IF(L257=FALSE,Data!J256," ")</f>
        <v xml:space="preserve"> </v>
      </c>
      <c r="J257" s="15" t="b">
        <f t="shared" si="13"/>
        <v>0</v>
      </c>
      <c r="K257" s="12" t="str">
        <f>Data!H256</f>
        <v>Telematics Device</v>
      </c>
      <c r="L257" s="15" t="b">
        <f t="shared" si="14"/>
        <v>1</v>
      </c>
      <c r="M257" s="14" t="str">
        <f>Data!I256</f>
        <v>Telematics device</v>
      </c>
      <c r="N257" s="15" t="str">
        <f>Data!G256</f>
        <v>265</v>
      </c>
      <c r="O257" s="15" t="b">
        <f t="shared" si="15"/>
        <v>1</v>
      </c>
      <c r="P257" s="12" t="str">
        <f>IF(Data!K256=FALSE(),"", Data!K256)</f>
        <v/>
      </c>
      <c r="Q257" s="12" t="str">
        <f>IF(Data!L256=FALSE(),"", Data!L256)</f>
        <v/>
      </c>
      <c r="R257" s="12" t="str">
        <f>IF(Data!M256=FALSE(),"", Data!M256)</f>
        <v/>
      </c>
      <c r="S257" s="12" t="str">
        <f>IF(Data!N256=FALSE(),"", Data!N256)</f>
        <v/>
      </c>
    </row>
    <row r="258" spans="1:19" ht="16.5">
      <c r="A258" s="12" t="str">
        <f>Data!A257</f>
        <v>Demo - 41</v>
      </c>
      <c r="B258" s="12" t="str">
        <f>Data!B257</f>
        <v>Vehicle, Company Group</v>
      </c>
      <c r="C258" s="12" t="str">
        <f>Data!D257</f>
        <v>b29</v>
      </c>
      <c r="D258" s="13">
        <f>Data!E257</f>
        <v>46070.717800925922</v>
      </c>
      <c r="E258" s="56">
        <f t="shared" si="12"/>
        <v>0</v>
      </c>
      <c r="F258" s="12" t="str">
        <f>Data!F257</f>
        <v>Telematics device fault: Check device installation as the accelerometer was disabled due to excessive data</v>
      </c>
      <c r="G258" s="14" t="str">
        <f>Data!A257&amp;" "&amp;Data!F257</f>
        <v>Demo - 41 Telematics device fault: Check device installation as the accelerometer was disabled due to excessive data</v>
      </c>
      <c r="H258" s="56">
        <f>IF(COUNTIF($G$10:G258,G258)&gt;1,0,1)</f>
        <v>0</v>
      </c>
      <c r="I258" s="12" t="str">
        <f>IF(L258=FALSE,Data!J257," ")</f>
        <v xml:space="preserve"> </v>
      </c>
      <c r="J258" s="15" t="b">
        <f t="shared" si="13"/>
        <v>0</v>
      </c>
      <c r="K258" s="12" t="str">
        <f>Data!H257</f>
        <v>Telematics Device</v>
      </c>
      <c r="L258" s="15" t="b">
        <f t="shared" si="14"/>
        <v>1</v>
      </c>
      <c r="M258" s="14" t="str">
        <f>Data!I257</f>
        <v>Telematics device</v>
      </c>
      <c r="N258" s="15" t="str">
        <f>Data!G257</f>
        <v>265</v>
      </c>
      <c r="O258" s="15" t="b">
        <f t="shared" si="15"/>
        <v>1</v>
      </c>
      <c r="P258" s="12" t="str">
        <f>IF(Data!K257=FALSE(),"", Data!K257)</f>
        <v/>
      </c>
      <c r="Q258" s="12" t="str">
        <f>IF(Data!L257=FALSE(),"", Data!L257)</f>
        <v/>
      </c>
      <c r="R258" s="12" t="str">
        <f>IF(Data!M257=FALSE(),"", Data!M257)</f>
        <v/>
      </c>
      <c r="S258" s="12" t="str">
        <f>IF(Data!N257=FALSE(),"", Data!N257)</f>
        <v/>
      </c>
    </row>
    <row r="259" spans="1:19" ht="16.5">
      <c r="A259" s="12" t="str">
        <f>Data!A258</f>
        <v>Demo - 41</v>
      </c>
      <c r="B259" s="12" t="str">
        <f>Data!B258</f>
        <v>Vehicle, Company Group</v>
      </c>
      <c r="C259" s="12" t="str">
        <f>Data!D258</f>
        <v>b29</v>
      </c>
      <c r="D259" s="13">
        <f>Data!E258</f>
        <v>46070.731412037036</v>
      </c>
      <c r="E259" s="56">
        <f t="shared" si="12"/>
        <v>0</v>
      </c>
      <c r="F259" s="12" t="str">
        <f>Data!F258</f>
        <v>Telematics device fault: Check device installation as the accelerometer was disabled due to excessive data</v>
      </c>
      <c r="G259" s="14" t="str">
        <f>Data!A258&amp;" "&amp;Data!F258</f>
        <v>Demo - 41 Telematics device fault: Check device installation as the accelerometer was disabled due to excessive data</v>
      </c>
      <c r="H259" s="56">
        <f>IF(COUNTIF($G$10:G259,G259)&gt;1,0,1)</f>
        <v>0</v>
      </c>
      <c r="I259" s="12" t="str">
        <f>IF(L259=FALSE,Data!J258," ")</f>
        <v xml:space="preserve"> </v>
      </c>
      <c r="J259" s="15" t="b">
        <f t="shared" si="13"/>
        <v>0</v>
      </c>
      <c r="K259" s="12" t="str">
        <f>Data!H258</f>
        <v>Telematics Device</v>
      </c>
      <c r="L259" s="15" t="b">
        <f t="shared" si="14"/>
        <v>1</v>
      </c>
      <c r="M259" s="14" t="str">
        <f>Data!I258</f>
        <v>Telematics device</v>
      </c>
      <c r="N259" s="15" t="str">
        <f>Data!G258</f>
        <v>265</v>
      </c>
      <c r="O259" s="15" t="b">
        <f t="shared" si="15"/>
        <v>1</v>
      </c>
      <c r="P259" s="12" t="str">
        <f>IF(Data!K258=FALSE(),"", Data!K258)</f>
        <v/>
      </c>
      <c r="Q259" s="12" t="str">
        <f>IF(Data!L258=FALSE(),"", Data!L258)</f>
        <v/>
      </c>
      <c r="R259" s="12" t="str">
        <f>IF(Data!M258=FALSE(),"", Data!M258)</f>
        <v/>
      </c>
      <c r="S259" s="12" t="str">
        <f>IF(Data!N258=FALSE(),"", Data!N258)</f>
        <v/>
      </c>
    </row>
    <row r="260" spans="1:19" ht="16.5">
      <c r="A260" s="12" t="str">
        <f>Data!A259</f>
        <v>Demo - 41</v>
      </c>
      <c r="B260" s="12" t="str">
        <f>Data!B259</f>
        <v>Vehicle, Company Group</v>
      </c>
      <c r="C260" s="12" t="str">
        <f>Data!D259</f>
        <v>b29</v>
      </c>
      <c r="D260" s="13">
        <f>Data!E259</f>
        <v>46070.736712962964</v>
      </c>
      <c r="E260" s="56">
        <f t="shared" si="12"/>
        <v>0</v>
      </c>
      <c r="F260" s="12" t="str">
        <f>Data!F259</f>
        <v>Telematics device fault: Check device installation as the accelerometer was disabled due to excessive data</v>
      </c>
      <c r="G260" s="14" t="str">
        <f>Data!A259&amp;" "&amp;Data!F259</f>
        <v>Demo - 41 Telematics device fault: Check device installation as the accelerometer was disabled due to excessive data</v>
      </c>
      <c r="H260" s="56">
        <f>IF(COUNTIF($G$10:G260,G260)&gt;1,0,1)</f>
        <v>0</v>
      </c>
      <c r="I260" s="12" t="str">
        <f>IF(L260=FALSE,Data!J259," ")</f>
        <v xml:space="preserve"> </v>
      </c>
      <c r="J260" s="15" t="b">
        <f t="shared" si="13"/>
        <v>0</v>
      </c>
      <c r="K260" s="12" t="str">
        <f>Data!H259</f>
        <v>Telematics Device</v>
      </c>
      <c r="L260" s="15" t="b">
        <f t="shared" si="14"/>
        <v>1</v>
      </c>
      <c r="M260" s="14" t="str">
        <f>Data!I259</f>
        <v>Telematics device</v>
      </c>
      <c r="N260" s="15" t="str">
        <f>Data!G259</f>
        <v>265</v>
      </c>
      <c r="O260" s="15" t="b">
        <f t="shared" si="15"/>
        <v>1</v>
      </c>
      <c r="P260" s="12" t="str">
        <f>IF(Data!K259=FALSE(),"", Data!K259)</f>
        <v/>
      </c>
      <c r="Q260" s="12" t="str">
        <f>IF(Data!L259=FALSE(),"", Data!L259)</f>
        <v/>
      </c>
      <c r="R260" s="12" t="str">
        <f>IF(Data!M259=FALSE(),"", Data!M259)</f>
        <v/>
      </c>
      <c r="S260" s="12" t="str">
        <f>IF(Data!N259=FALSE(),"", Data!N259)</f>
        <v/>
      </c>
    </row>
    <row r="261" spans="1:19" ht="16.5">
      <c r="A261" s="12" t="str">
        <f>Data!A260</f>
        <v>Demo - 41</v>
      </c>
      <c r="B261" s="12" t="str">
        <f>Data!B260</f>
        <v>Vehicle, Company Group</v>
      </c>
      <c r="C261" s="12" t="str">
        <f>Data!D260</f>
        <v>b29</v>
      </c>
      <c r="D261" s="13">
        <f>Data!E260</f>
        <v>46070.76054398148</v>
      </c>
      <c r="E261" s="56">
        <f t="shared" si="12"/>
        <v>0</v>
      </c>
      <c r="F261" s="12" t="str">
        <f>Data!F260</f>
        <v>Telematics device fault: Check device installation as the accelerometer was disabled due to excessive data</v>
      </c>
      <c r="G261" s="14" t="str">
        <f>Data!A260&amp;" "&amp;Data!F260</f>
        <v>Demo - 41 Telematics device fault: Check device installation as the accelerometer was disabled due to excessive data</v>
      </c>
      <c r="H261" s="56">
        <f>IF(COUNTIF($G$10:G261,G261)&gt;1,0,1)</f>
        <v>0</v>
      </c>
      <c r="I261" s="12" t="str">
        <f>IF(L261=FALSE,Data!J260," ")</f>
        <v xml:space="preserve"> </v>
      </c>
      <c r="J261" s="15" t="b">
        <f t="shared" si="13"/>
        <v>0</v>
      </c>
      <c r="K261" s="12" t="str">
        <f>Data!H260</f>
        <v>Telematics Device</v>
      </c>
      <c r="L261" s="15" t="b">
        <f t="shared" si="14"/>
        <v>1</v>
      </c>
      <c r="M261" s="14" t="str">
        <f>Data!I260</f>
        <v>Telematics device</v>
      </c>
      <c r="N261" s="15" t="str">
        <f>Data!G260</f>
        <v>265</v>
      </c>
      <c r="O261" s="15" t="b">
        <f t="shared" si="15"/>
        <v>1</v>
      </c>
      <c r="P261" s="12" t="str">
        <f>IF(Data!K260=FALSE(),"", Data!K260)</f>
        <v/>
      </c>
      <c r="Q261" s="12" t="str">
        <f>IF(Data!L260=FALSE(),"", Data!L260)</f>
        <v/>
      </c>
      <c r="R261" s="12" t="str">
        <f>IF(Data!M260=FALSE(),"", Data!M260)</f>
        <v/>
      </c>
      <c r="S261" s="12" t="str">
        <f>IF(Data!N260=FALSE(),"", Data!N260)</f>
        <v/>
      </c>
    </row>
    <row r="262" spans="1:19" ht="16.5">
      <c r="A262" s="12" t="str">
        <f>Data!A261</f>
        <v>Demo - 41</v>
      </c>
      <c r="B262" s="12" t="str">
        <f>Data!B261</f>
        <v>Vehicle, Company Group</v>
      </c>
      <c r="C262" s="12" t="str">
        <f>Data!D261</f>
        <v>b29</v>
      </c>
      <c r="D262" s="13">
        <f>Data!E261</f>
        <v>46071.582303240742</v>
      </c>
      <c r="E262" s="56">
        <f t="shared" si="12"/>
        <v>0</v>
      </c>
      <c r="F262" s="12" t="str">
        <f>Data!F261</f>
        <v>Telematics device fault: Check device installation as the accelerometer was disabled due to excessive data</v>
      </c>
      <c r="G262" s="14" t="str">
        <f>Data!A261&amp;" "&amp;Data!F261</f>
        <v>Demo - 41 Telematics device fault: Check device installation as the accelerometer was disabled due to excessive data</v>
      </c>
      <c r="H262" s="56">
        <f>IF(COUNTIF($G$10:G262,G262)&gt;1,0,1)</f>
        <v>0</v>
      </c>
      <c r="I262" s="12" t="str">
        <f>IF(L262=FALSE,Data!J261," ")</f>
        <v xml:space="preserve"> </v>
      </c>
      <c r="J262" s="15" t="b">
        <f t="shared" si="13"/>
        <v>0</v>
      </c>
      <c r="K262" s="12" t="str">
        <f>Data!H261</f>
        <v>Telematics Device</v>
      </c>
      <c r="L262" s="15" t="b">
        <f t="shared" si="14"/>
        <v>1</v>
      </c>
      <c r="M262" s="14" t="str">
        <f>Data!I261</f>
        <v>Telematics device</v>
      </c>
      <c r="N262" s="15" t="str">
        <f>Data!G261</f>
        <v>265</v>
      </c>
      <c r="O262" s="15" t="b">
        <f t="shared" si="15"/>
        <v>1</v>
      </c>
      <c r="P262" s="12" t="str">
        <f>IF(Data!K261=FALSE(),"", Data!K261)</f>
        <v/>
      </c>
      <c r="Q262" s="12" t="str">
        <f>IF(Data!L261=FALSE(),"", Data!L261)</f>
        <v/>
      </c>
      <c r="R262" s="12" t="str">
        <f>IF(Data!M261=FALSE(),"", Data!M261)</f>
        <v/>
      </c>
      <c r="S262" s="12" t="str">
        <f>IF(Data!N261=FALSE(),"", Data!N261)</f>
        <v/>
      </c>
    </row>
    <row r="263" spans="1:19" ht="16.5">
      <c r="A263" s="12" t="str">
        <f>Data!A262</f>
        <v>Demo - 41</v>
      </c>
      <c r="B263" s="12" t="str">
        <f>Data!B262</f>
        <v>Vehicle, Company Group</v>
      </c>
      <c r="C263" s="12" t="str">
        <f>Data!D262</f>
        <v>b29</v>
      </c>
      <c r="D263" s="13">
        <f>Data!E262</f>
        <v>46071.617997685185</v>
      </c>
      <c r="E263" s="56">
        <f t="shared" si="12"/>
        <v>0</v>
      </c>
      <c r="F263" s="12" t="str">
        <f>Data!F262</f>
        <v>Telematics device fault: Check device installation as the accelerometer was disabled due to excessive data</v>
      </c>
      <c r="G263" s="14" t="str">
        <f>Data!A262&amp;" "&amp;Data!F262</f>
        <v>Demo - 41 Telematics device fault: Check device installation as the accelerometer was disabled due to excessive data</v>
      </c>
      <c r="H263" s="56">
        <f>IF(COUNTIF($G$10:G263,G263)&gt;1,0,1)</f>
        <v>0</v>
      </c>
      <c r="I263" s="12" t="str">
        <f>IF(L263=FALSE,Data!J262," ")</f>
        <v xml:space="preserve"> </v>
      </c>
      <c r="J263" s="15" t="b">
        <f t="shared" si="13"/>
        <v>0</v>
      </c>
      <c r="K263" s="12" t="str">
        <f>Data!H262</f>
        <v>Telematics Device</v>
      </c>
      <c r="L263" s="15" t="b">
        <f t="shared" si="14"/>
        <v>1</v>
      </c>
      <c r="M263" s="14" t="str">
        <f>Data!I262</f>
        <v>Telematics device</v>
      </c>
      <c r="N263" s="15" t="str">
        <f>Data!G262</f>
        <v>265</v>
      </c>
      <c r="O263" s="15" t="b">
        <f t="shared" si="15"/>
        <v>1</v>
      </c>
      <c r="P263" s="12" t="str">
        <f>IF(Data!K262=FALSE(),"", Data!K262)</f>
        <v/>
      </c>
      <c r="Q263" s="12" t="str">
        <f>IF(Data!L262=FALSE(),"", Data!L262)</f>
        <v/>
      </c>
      <c r="R263" s="12" t="str">
        <f>IF(Data!M262=FALSE(),"", Data!M262)</f>
        <v/>
      </c>
      <c r="S263" s="12" t="str">
        <f>IF(Data!N262=FALSE(),"", Data!N262)</f>
        <v/>
      </c>
    </row>
    <row r="264" spans="1:19" ht="16.5">
      <c r="A264" s="12" t="str">
        <f>Data!A263</f>
        <v>Demo - 41</v>
      </c>
      <c r="B264" s="12" t="str">
        <f>Data!B263</f>
        <v>Vehicle, Company Group</v>
      </c>
      <c r="C264" s="12" t="str">
        <f>Data!D263</f>
        <v>b29</v>
      </c>
      <c r="D264" s="13">
        <f>Data!E263</f>
        <v>46071.650613425925</v>
      </c>
      <c r="E264" s="56">
        <f t="shared" si="12"/>
        <v>0</v>
      </c>
      <c r="F264" s="12" t="str">
        <f>Data!F263</f>
        <v>Telematics device fault: Check device installation as the accelerometer was disabled due to excessive data</v>
      </c>
      <c r="G264" s="14" t="str">
        <f>Data!A263&amp;" "&amp;Data!F263</f>
        <v>Demo - 41 Telematics device fault: Check device installation as the accelerometer was disabled due to excessive data</v>
      </c>
      <c r="H264" s="56">
        <f>IF(COUNTIF($G$10:G264,G264)&gt;1,0,1)</f>
        <v>0</v>
      </c>
      <c r="I264" s="12" t="str">
        <f>IF(L264=FALSE,Data!J263," ")</f>
        <v xml:space="preserve"> </v>
      </c>
      <c r="J264" s="15" t="b">
        <f t="shared" si="13"/>
        <v>0</v>
      </c>
      <c r="K264" s="12" t="str">
        <f>Data!H263</f>
        <v>Telematics Device</v>
      </c>
      <c r="L264" s="15" t="b">
        <f t="shared" si="14"/>
        <v>1</v>
      </c>
      <c r="M264" s="14" t="str">
        <f>Data!I263</f>
        <v>Telematics device</v>
      </c>
      <c r="N264" s="15" t="str">
        <f>Data!G263</f>
        <v>265</v>
      </c>
      <c r="O264" s="15" t="b">
        <f t="shared" si="15"/>
        <v>1</v>
      </c>
      <c r="P264" s="12" t="str">
        <f>IF(Data!K263=FALSE(),"", Data!K263)</f>
        <v/>
      </c>
      <c r="Q264" s="12" t="str">
        <f>IF(Data!L263=FALSE(),"", Data!L263)</f>
        <v/>
      </c>
      <c r="R264" s="12" t="str">
        <f>IF(Data!M263=FALSE(),"", Data!M263)</f>
        <v/>
      </c>
      <c r="S264" s="12" t="str">
        <f>IF(Data!N263=FALSE(),"", Data!N263)</f>
        <v/>
      </c>
    </row>
    <row r="265" spans="1:19" ht="16.5">
      <c r="A265" s="12" t="str">
        <f>Data!A264</f>
        <v>Demo - 41</v>
      </c>
      <c r="B265" s="12" t="str">
        <f>Data!B264</f>
        <v>Vehicle, Company Group</v>
      </c>
      <c r="C265" s="12" t="str">
        <f>Data!D264</f>
        <v>b29</v>
      </c>
      <c r="D265" s="13">
        <f>Data!E264</f>
        <v>46071.697060185186</v>
      </c>
      <c r="E265" s="56">
        <f t="shared" si="12"/>
        <v>0</v>
      </c>
      <c r="F265" s="12" t="str">
        <f>Data!F264</f>
        <v>Telematics device fault: Check device installation as the accelerometer was disabled due to excessive data</v>
      </c>
      <c r="G265" s="14" t="str">
        <f>Data!A264&amp;" "&amp;Data!F264</f>
        <v>Demo - 41 Telematics device fault: Check device installation as the accelerometer was disabled due to excessive data</v>
      </c>
      <c r="H265" s="56">
        <f>IF(COUNTIF($G$10:G265,G265)&gt;1,0,1)</f>
        <v>0</v>
      </c>
      <c r="I265" s="12" t="str">
        <f>IF(L265=FALSE,Data!J264," ")</f>
        <v xml:space="preserve"> </v>
      </c>
      <c r="J265" s="15" t="b">
        <f t="shared" si="13"/>
        <v>0</v>
      </c>
      <c r="K265" s="12" t="str">
        <f>Data!H264</f>
        <v>Telematics Device</v>
      </c>
      <c r="L265" s="15" t="b">
        <f t="shared" si="14"/>
        <v>1</v>
      </c>
      <c r="M265" s="14" t="str">
        <f>Data!I264</f>
        <v>Telematics device</v>
      </c>
      <c r="N265" s="15" t="str">
        <f>Data!G264</f>
        <v>265</v>
      </c>
      <c r="O265" s="15" t="b">
        <f t="shared" si="15"/>
        <v>1</v>
      </c>
      <c r="P265" s="12" t="str">
        <f>IF(Data!K264=FALSE(),"", Data!K264)</f>
        <v/>
      </c>
      <c r="Q265" s="12" t="str">
        <f>IF(Data!L264=FALSE(),"", Data!L264)</f>
        <v/>
      </c>
      <c r="R265" s="12" t="str">
        <f>IF(Data!M264=FALSE(),"", Data!M264)</f>
        <v/>
      </c>
      <c r="S265" s="12" t="str">
        <f>IF(Data!N264=FALSE(),"", Data!N264)</f>
        <v/>
      </c>
    </row>
    <row r="266" spans="1:19" ht="16.5">
      <c r="A266" s="12" t="str">
        <f>Data!A265</f>
        <v>Demo - 41</v>
      </c>
      <c r="B266" s="12" t="str">
        <f>Data!B265</f>
        <v>Vehicle, Company Group</v>
      </c>
      <c r="C266" s="12" t="str">
        <f>Data!D265</f>
        <v>b29</v>
      </c>
      <c r="D266" s="13">
        <f>Data!E265</f>
        <v>46071.727650462963</v>
      </c>
      <c r="E266" s="56">
        <f t="shared" ref="E266:E311" si="16">IF(L266=FALSE,1,0)</f>
        <v>0</v>
      </c>
      <c r="F266" s="12" t="str">
        <f>Data!F265</f>
        <v>Telematics device fault: Check device installation as the accelerometer was disabled due to excessive data</v>
      </c>
      <c r="G266" s="14" t="str">
        <f>Data!A265&amp;" "&amp;Data!F265</f>
        <v>Demo - 41 Telematics device fault: Check device installation as the accelerometer was disabled due to excessive data</v>
      </c>
      <c r="H266" s="56">
        <f>IF(COUNTIF($G$10:G266,G266)&gt;1,0,1)</f>
        <v>0</v>
      </c>
      <c r="I266" s="12" t="str">
        <f>IF(L266=FALSE,Data!J265," ")</f>
        <v xml:space="preserve"> </v>
      </c>
      <c r="J266" s="15" t="b">
        <f t="shared" ref="J266:J311" si="17">ISNUMBER(SEARCH("active",I266))</f>
        <v>0</v>
      </c>
      <c r="K266" s="12" t="str">
        <f>Data!H265</f>
        <v>Telematics Device</v>
      </c>
      <c r="L266" s="15" t="b">
        <f t="shared" ref="L266:L311" si="18">OR(ISNUMBER(SEARCH("telematics",M266)),ISNUMBER(SEARCH("device",M266)))</f>
        <v>1</v>
      </c>
      <c r="M266" s="14" t="str">
        <f>Data!I265</f>
        <v>Telematics device</v>
      </c>
      <c r="N266" s="15" t="str">
        <f>Data!G265</f>
        <v>265</v>
      </c>
      <c r="O266" s="15" t="b">
        <f t="shared" ref="O266:O311" si="19">IF(ISBLANK(A266)=TRUE,FALSE,TRUE)</f>
        <v>1</v>
      </c>
      <c r="P266" s="12" t="str">
        <f>IF(Data!K265=FALSE(),"", Data!K265)</f>
        <v/>
      </c>
      <c r="Q266" s="12" t="str">
        <f>IF(Data!L265=FALSE(),"", Data!L265)</f>
        <v/>
      </c>
      <c r="R266" s="12" t="str">
        <f>IF(Data!M265=FALSE(),"", Data!M265)</f>
        <v/>
      </c>
      <c r="S266" s="12" t="str">
        <f>IF(Data!N265=FALSE(),"", Data!N265)</f>
        <v/>
      </c>
    </row>
    <row r="267" spans="1:19" ht="16.5">
      <c r="A267" s="12" t="str">
        <f>Data!A266</f>
        <v>Demo - 41</v>
      </c>
      <c r="B267" s="12" t="str">
        <f>Data!B266</f>
        <v>Vehicle, Company Group</v>
      </c>
      <c r="C267" s="12" t="str">
        <f>Data!D266</f>
        <v>b29</v>
      </c>
      <c r="D267" s="13">
        <f>Data!E266</f>
        <v>46071.751643518517</v>
      </c>
      <c r="E267" s="56">
        <f t="shared" si="16"/>
        <v>0</v>
      </c>
      <c r="F267" s="12" t="str">
        <f>Data!F266</f>
        <v>Telematics device fault: Check device installation as the accelerometer was disabled due to excessive data</v>
      </c>
      <c r="G267" s="14" t="str">
        <f>Data!A266&amp;" "&amp;Data!F266</f>
        <v>Demo - 41 Telematics device fault: Check device installation as the accelerometer was disabled due to excessive data</v>
      </c>
      <c r="H267" s="56">
        <f>IF(COUNTIF($G$10:G267,G267)&gt;1,0,1)</f>
        <v>0</v>
      </c>
      <c r="I267" s="12" t="str">
        <f>IF(L267=FALSE,Data!J266," ")</f>
        <v xml:space="preserve"> </v>
      </c>
      <c r="J267" s="15" t="b">
        <f t="shared" si="17"/>
        <v>0</v>
      </c>
      <c r="K267" s="12" t="str">
        <f>Data!H266</f>
        <v>Telematics Device</v>
      </c>
      <c r="L267" s="15" t="b">
        <f t="shared" si="18"/>
        <v>1</v>
      </c>
      <c r="M267" s="14" t="str">
        <f>Data!I266</f>
        <v>Telematics device</v>
      </c>
      <c r="N267" s="15" t="str">
        <f>Data!G266</f>
        <v>265</v>
      </c>
      <c r="O267" s="15" t="b">
        <f t="shared" si="19"/>
        <v>1</v>
      </c>
      <c r="P267" s="12" t="str">
        <f>IF(Data!K266=FALSE(),"", Data!K266)</f>
        <v/>
      </c>
      <c r="Q267" s="12" t="str">
        <f>IF(Data!L266=FALSE(),"", Data!L266)</f>
        <v/>
      </c>
      <c r="R267" s="12" t="str">
        <f>IF(Data!M266=FALSE(),"", Data!M266)</f>
        <v/>
      </c>
      <c r="S267" s="12" t="str">
        <f>IF(Data!N266=FALSE(),"", Data!N266)</f>
        <v/>
      </c>
    </row>
    <row r="268" spans="1:19" ht="16.5">
      <c r="A268" s="12" t="str">
        <f>Data!A267</f>
        <v>Demo - 41</v>
      </c>
      <c r="B268" s="12" t="str">
        <f>Data!B267</f>
        <v>Vehicle, Company Group</v>
      </c>
      <c r="C268" s="12" t="str">
        <f>Data!D267</f>
        <v>b29</v>
      </c>
      <c r="D268" s="13">
        <f>Data!E267</f>
        <v>46071.764537037037</v>
      </c>
      <c r="E268" s="56">
        <f t="shared" si="16"/>
        <v>0</v>
      </c>
      <c r="F268" s="12" t="str">
        <f>Data!F267</f>
        <v>Telematics device fault: Check device installation as the accelerometer was disabled due to excessive data</v>
      </c>
      <c r="G268" s="14" t="str">
        <f>Data!A267&amp;" "&amp;Data!F267</f>
        <v>Demo - 41 Telematics device fault: Check device installation as the accelerometer was disabled due to excessive data</v>
      </c>
      <c r="H268" s="56">
        <f>IF(COUNTIF($G$10:G268,G268)&gt;1,0,1)</f>
        <v>0</v>
      </c>
      <c r="I268" s="12" t="str">
        <f>IF(L268=FALSE,Data!J267," ")</f>
        <v xml:space="preserve"> </v>
      </c>
      <c r="J268" s="15" t="b">
        <f t="shared" si="17"/>
        <v>0</v>
      </c>
      <c r="K268" s="12" t="str">
        <f>Data!H267</f>
        <v>Telematics Device</v>
      </c>
      <c r="L268" s="15" t="b">
        <f t="shared" si="18"/>
        <v>1</v>
      </c>
      <c r="M268" s="14" t="str">
        <f>Data!I267</f>
        <v>Telematics device</v>
      </c>
      <c r="N268" s="15" t="str">
        <f>Data!G267</f>
        <v>265</v>
      </c>
      <c r="O268" s="15" t="b">
        <f t="shared" si="19"/>
        <v>1</v>
      </c>
      <c r="P268" s="12" t="str">
        <f>IF(Data!K267=FALSE(),"", Data!K267)</f>
        <v/>
      </c>
      <c r="Q268" s="12" t="str">
        <f>IF(Data!L267=FALSE(),"", Data!L267)</f>
        <v/>
      </c>
      <c r="R268" s="12" t="str">
        <f>IF(Data!M267=FALSE(),"", Data!M267)</f>
        <v/>
      </c>
      <c r="S268" s="12" t="str">
        <f>IF(Data!N267=FALSE(),"", Data!N267)</f>
        <v/>
      </c>
    </row>
    <row r="269" spans="1:19" ht="16.5">
      <c r="A269" s="12" t="str">
        <f>Data!A268</f>
        <v>Demo - 41</v>
      </c>
      <c r="B269" s="12" t="str">
        <f>Data!B268</f>
        <v>Vehicle, Company Group</v>
      </c>
      <c r="C269" s="12" t="str">
        <f>Data!D268</f>
        <v>b29</v>
      </c>
      <c r="D269" s="13">
        <f>Data!E268</f>
        <v>46071.792048611111</v>
      </c>
      <c r="E269" s="56">
        <f t="shared" si="16"/>
        <v>0</v>
      </c>
      <c r="F269" s="12" t="str">
        <f>Data!F268</f>
        <v>Telematics device fault: Check device installation as the accelerometer was disabled due to excessive data</v>
      </c>
      <c r="G269" s="14" t="str">
        <f>Data!A268&amp;" "&amp;Data!F268</f>
        <v>Demo - 41 Telematics device fault: Check device installation as the accelerometer was disabled due to excessive data</v>
      </c>
      <c r="H269" s="56">
        <f>IF(COUNTIF($G$10:G269,G269)&gt;1,0,1)</f>
        <v>0</v>
      </c>
      <c r="I269" s="12" t="str">
        <f>IF(L269=FALSE,Data!J268," ")</f>
        <v xml:space="preserve"> </v>
      </c>
      <c r="J269" s="15" t="b">
        <f t="shared" si="17"/>
        <v>0</v>
      </c>
      <c r="K269" s="12" t="str">
        <f>Data!H268</f>
        <v>Telematics Device</v>
      </c>
      <c r="L269" s="15" t="b">
        <f t="shared" si="18"/>
        <v>1</v>
      </c>
      <c r="M269" s="14" t="str">
        <f>Data!I268</f>
        <v>Telematics device</v>
      </c>
      <c r="N269" s="15" t="str">
        <f>Data!G268</f>
        <v>265</v>
      </c>
      <c r="O269" s="15" t="b">
        <f t="shared" si="19"/>
        <v>1</v>
      </c>
      <c r="P269" s="12" t="str">
        <f>IF(Data!K268=FALSE(),"", Data!K268)</f>
        <v/>
      </c>
      <c r="Q269" s="12" t="str">
        <f>IF(Data!L268=FALSE(),"", Data!L268)</f>
        <v/>
      </c>
      <c r="R269" s="12" t="str">
        <f>IF(Data!M268=FALSE(),"", Data!M268)</f>
        <v/>
      </c>
      <c r="S269" s="12" t="str">
        <f>IF(Data!N268=FALSE(),"", Data!N268)</f>
        <v/>
      </c>
    </row>
    <row r="270" spans="1:19" ht="16.5">
      <c r="A270" s="12" t="str">
        <f>Data!A269</f>
        <v>Demo - 41</v>
      </c>
      <c r="B270" s="12" t="str">
        <f>Data!B269</f>
        <v>Vehicle, Company Group</v>
      </c>
      <c r="C270" s="12" t="str">
        <f>Data!D269</f>
        <v>b29</v>
      </c>
      <c r="D270" s="13">
        <f>Data!E269</f>
        <v>46072.802349537036</v>
      </c>
      <c r="E270" s="56">
        <f t="shared" si="16"/>
        <v>0</v>
      </c>
      <c r="F270" s="12" t="str">
        <f>Data!F269</f>
        <v>Telematics device fault: Check device installation as the accelerometer was disabled due to excessive data</v>
      </c>
      <c r="G270" s="14" t="str">
        <f>Data!A269&amp;" "&amp;Data!F269</f>
        <v>Demo - 41 Telematics device fault: Check device installation as the accelerometer was disabled due to excessive data</v>
      </c>
      <c r="H270" s="56">
        <f>IF(COUNTIF($G$10:G270,G270)&gt;1,0,1)</f>
        <v>0</v>
      </c>
      <c r="I270" s="12" t="str">
        <f>IF(L270=FALSE,Data!J269," ")</f>
        <v xml:space="preserve"> </v>
      </c>
      <c r="J270" s="15" t="b">
        <f t="shared" si="17"/>
        <v>0</v>
      </c>
      <c r="K270" s="12" t="str">
        <f>Data!H269</f>
        <v>Telematics Device</v>
      </c>
      <c r="L270" s="15" t="b">
        <f t="shared" si="18"/>
        <v>1</v>
      </c>
      <c r="M270" s="14" t="str">
        <f>Data!I269</f>
        <v>Telematics device</v>
      </c>
      <c r="N270" s="15" t="str">
        <f>Data!G269</f>
        <v>265</v>
      </c>
      <c r="O270" s="15" t="b">
        <f t="shared" si="19"/>
        <v>1</v>
      </c>
      <c r="P270" s="12" t="str">
        <f>IF(Data!K269=FALSE(),"", Data!K269)</f>
        <v/>
      </c>
      <c r="Q270" s="12" t="str">
        <f>IF(Data!L269=FALSE(),"", Data!L269)</f>
        <v/>
      </c>
      <c r="R270" s="12" t="str">
        <f>IF(Data!M269=FALSE(),"", Data!M269)</f>
        <v/>
      </c>
      <c r="S270" s="12" t="str">
        <f>IF(Data!N269=FALSE(),"", Data!N269)</f>
        <v/>
      </c>
    </row>
    <row r="271" spans="1:19" ht="16.5">
      <c r="A271" s="12" t="str">
        <f>Data!A270</f>
        <v>Demo - 41</v>
      </c>
      <c r="B271" s="12" t="str">
        <f>Data!B270</f>
        <v>Vehicle, Company Group</v>
      </c>
      <c r="C271" s="12" t="str">
        <f>Data!D270</f>
        <v>b29</v>
      </c>
      <c r="D271" s="13">
        <f>Data!E270</f>
        <v>46072.809166666666</v>
      </c>
      <c r="E271" s="56">
        <f t="shared" si="16"/>
        <v>0</v>
      </c>
      <c r="F271" s="12" t="str">
        <f>Data!F270</f>
        <v>Telematics device fault: Check device installation as the accelerometer was disabled due to excessive data</v>
      </c>
      <c r="G271" s="14" t="str">
        <f>Data!A270&amp;" "&amp;Data!F270</f>
        <v>Demo - 41 Telematics device fault: Check device installation as the accelerometer was disabled due to excessive data</v>
      </c>
      <c r="H271" s="56">
        <f>IF(COUNTIF($G$10:G271,G271)&gt;1,0,1)</f>
        <v>0</v>
      </c>
      <c r="I271" s="12" t="str">
        <f>IF(L271=FALSE,Data!J270," ")</f>
        <v xml:space="preserve"> </v>
      </c>
      <c r="J271" s="15" t="b">
        <f t="shared" si="17"/>
        <v>0</v>
      </c>
      <c r="K271" s="12" t="str">
        <f>Data!H270</f>
        <v>Telematics Device</v>
      </c>
      <c r="L271" s="15" t="b">
        <f t="shared" si="18"/>
        <v>1</v>
      </c>
      <c r="M271" s="14" t="str">
        <f>Data!I270</f>
        <v>Telematics device</v>
      </c>
      <c r="N271" s="15" t="str">
        <f>Data!G270</f>
        <v>265</v>
      </c>
      <c r="O271" s="15" t="b">
        <f t="shared" si="19"/>
        <v>1</v>
      </c>
      <c r="P271" s="12" t="str">
        <f>IF(Data!K270=FALSE(),"", Data!K270)</f>
        <v/>
      </c>
      <c r="Q271" s="12" t="str">
        <f>IF(Data!L270=FALSE(),"", Data!L270)</f>
        <v/>
      </c>
      <c r="R271" s="12" t="str">
        <f>IF(Data!M270=FALSE(),"", Data!M270)</f>
        <v/>
      </c>
      <c r="S271" s="12" t="str">
        <f>IF(Data!N270=FALSE(),"", Data!N270)</f>
        <v/>
      </c>
    </row>
    <row r="272" spans="1:19" ht="16.5">
      <c r="A272" s="12" t="str">
        <f>Data!A271</f>
        <v>Demo - 41</v>
      </c>
      <c r="B272" s="12" t="str">
        <f>Data!B271</f>
        <v>Vehicle, Company Group</v>
      </c>
      <c r="C272" s="12" t="str">
        <f>Data!D271</f>
        <v>b29</v>
      </c>
      <c r="D272" s="13">
        <f>Data!E271</f>
        <v>46072.961516203701</v>
      </c>
      <c r="E272" s="56">
        <f t="shared" si="16"/>
        <v>0</v>
      </c>
      <c r="F272" s="12" t="str">
        <f>Data!F271</f>
        <v>Telematics device fault: Check device installation as the accelerometer was disabled due to excessive data</v>
      </c>
      <c r="G272" s="14" t="str">
        <f>Data!A271&amp;" "&amp;Data!F271</f>
        <v>Demo - 41 Telematics device fault: Check device installation as the accelerometer was disabled due to excessive data</v>
      </c>
      <c r="H272" s="56">
        <f>IF(COUNTIF($G$10:G272,G272)&gt;1,0,1)</f>
        <v>0</v>
      </c>
      <c r="I272" s="12" t="str">
        <f>IF(L272=FALSE,Data!J271," ")</f>
        <v xml:space="preserve"> </v>
      </c>
      <c r="J272" s="15" t="b">
        <f t="shared" si="17"/>
        <v>0</v>
      </c>
      <c r="K272" s="12" t="str">
        <f>Data!H271</f>
        <v>Telematics Device</v>
      </c>
      <c r="L272" s="15" t="b">
        <f t="shared" si="18"/>
        <v>1</v>
      </c>
      <c r="M272" s="14" t="str">
        <f>Data!I271</f>
        <v>Telematics device</v>
      </c>
      <c r="N272" s="15" t="str">
        <f>Data!G271</f>
        <v>265</v>
      </c>
      <c r="O272" s="15" t="b">
        <f t="shared" si="19"/>
        <v>1</v>
      </c>
      <c r="P272" s="12" t="str">
        <f>IF(Data!K271=FALSE(),"", Data!K271)</f>
        <v/>
      </c>
      <c r="Q272" s="12" t="str">
        <f>IF(Data!L271=FALSE(),"", Data!L271)</f>
        <v/>
      </c>
      <c r="R272" s="12" t="str">
        <f>IF(Data!M271=FALSE(),"", Data!M271)</f>
        <v/>
      </c>
      <c r="S272" s="12" t="str">
        <f>IF(Data!N271=FALSE(),"", Data!N271)</f>
        <v/>
      </c>
    </row>
    <row r="273" spans="1:19" ht="16.5">
      <c r="A273" s="12" t="str">
        <f>Data!A272</f>
        <v>Demo - 41</v>
      </c>
      <c r="B273" s="12" t="str">
        <f>Data!B272</f>
        <v>Vehicle, Company Group</v>
      </c>
      <c r="C273" s="12" t="str">
        <f>Data!D272</f>
        <v>b29</v>
      </c>
      <c r="D273" s="13">
        <f>Data!E272</f>
        <v>46072.981851851851</v>
      </c>
      <c r="E273" s="56">
        <f t="shared" si="16"/>
        <v>0</v>
      </c>
      <c r="F273" s="12" t="str">
        <f>Data!F272</f>
        <v>Telematics device fault: Check device installation as the accelerometer was disabled due to excessive data</v>
      </c>
      <c r="G273" s="14" t="str">
        <f>Data!A272&amp;" "&amp;Data!F272</f>
        <v>Demo - 41 Telematics device fault: Check device installation as the accelerometer was disabled due to excessive data</v>
      </c>
      <c r="H273" s="56">
        <f>IF(COUNTIF($G$10:G273,G273)&gt;1,0,1)</f>
        <v>0</v>
      </c>
      <c r="I273" s="12" t="str">
        <f>IF(L273=FALSE,Data!J272," ")</f>
        <v xml:space="preserve"> </v>
      </c>
      <c r="J273" s="15" t="b">
        <f t="shared" si="17"/>
        <v>0</v>
      </c>
      <c r="K273" s="12" t="str">
        <f>Data!H272</f>
        <v>Telematics Device</v>
      </c>
      <c r="L273" s="15" t="b">
        <f t="shared" si="18"/>
        <v>1</v>
      </c>
      <c r="M273" s="14" t="str">
        <f>Data!I272</f>
        <v>Telematics device</v>
      </c>
      <c r="N273" s="15" t="str">
        <f>Data!G272</f>
        <v>265</v>
      </c>
      <c r="O273" s="15" t="b">
        <f t="shared" si="19"/>
        <v>1</v>
      </c>
      <c r="P273" s="12" t="str">
        <f>IF(Data!K272=FALSE(),"", Data!K272)</f>
        <v/>
      </c>
      <c r="Q273" s="12" t="str">
        <f>IF(Data!L272=FALSE(),"", Data!L272)</f>
        <v/>
      </c>
      <c r="R273" s="12" t="str">
        <f>IF(Data!M272=FALSE(),"", Data!M272)</f>
        <v/>
      </c>
      <c r="S273" s="12" t="str">
        <f>IF(Data!N272=FALSE(),"", Data!N272)</f>
        <v/>
      </c>
    </row>
    <row r="274" spans="1:19" ht="16.5">
      <c r="A274" s="12" t="str">
        <f>Data!A273</f>
        <v>Demo - 41</v>
      </c>
      <c r="B274" s="12" t="str">
        <f>Data!B273</f>
        <v>Vehicle, Company Group</v>
      </c>
      <c r="C274" s="12" t="str">
        <f>Data!D273</f>
        <v>b29</v>
      </c>
      <c r="D274" s="13">
        <f>Data!E273</f>
        <v>46073.016192129631</v>
      </c>
      <c r="E274" s="56">
        <f t="shared" si="16"/>
        <v>0</v>
      </c>
      <c r="F274" s="12" t="str">
        <f>Data!F273</f>
        <v>Telematics device fault: Check device installation as the accelerometer was disabled due to excessive data</v>
      </c>
      <c r="G274" s="14" t="str">
        <f>Data!A273&amp;" "&amp;Data!F273</f>
        <v>Demo - 41 Telematics device fault: Check device installation as the accelerometer was disabled due to excessive data</v>
      </c>
      <c r="H274" s="56">
        <f>IF(COUNTIF($G$10:G274,G274)&gt;1,0,1)</f>
        <v>0</v>
      </c>
      <c r="I274" s="12" t="str">
        <f>IF(L274=FALSE,Data!J273," ")</f>
        <v xml:space="preserve"> </v>
      </c>
      <c r="J274" s="15" t="b">
        <f t="shared" si="17"/>
        <v>0</v>
      </c>
      <c r="K274" s="12" t="str">
        <f>Data!H273</f>
        <v>Telematics Device</v>
      </c>
      <c r="L274" s="15" t="b">
        <f t="shared" si="18"/>
        <v>1</v>
      </c>
      <c r="M274" s="14" t="str">
        <f>Data!I273</f>
        <v>Telematics device</v>
      </c>
      <c r="N274" s="15" t="str">
        <f>Data!G273</f>
        <v>265</v>
      </c>
      <c r="O274" s="15" t="b">
        <f t="shared" si="19"/>
        <v>1</v>
      </c>
      <c r="P274" s="12" t="str">
        <f>IF(Data!K273=FALSE(),"", Data!K273)</f>
        <v/>
      </c>
      <c r="Q274" s="12" t="str">
        <f>IF(Data!L273=FALSE(),"", Data!L273)</f>
        <v/>
      </c>
      <c r="R274" s="12" t="str">
        <f>IF(Data!M273=FALSE(),"", Data!M273)</f>
        <v/>
      </c>
      <c r="S274" s="12" t="str">
        <f>IF(Data!N273=FALSE(),"", Data!N273)</f>
        <v/>
      </c>
    </row>
    <row r="275" spans="1:19" ht="16.5">
      <c r="A275" s="12" t="str">
        <f>Data!A274</f>
        <v>Demo - 41</v>
      </c>
      <c r="B275" s="12" t="str">
        <f>Data!B274</f>
        <v>Vehicle, Company Group</v>
      </c>
      <c r="C275" s="12" t="str">
        <f>Data!D274</f>
        <v>b29</v>
      </c>
      <c r="D275" s="13">
        <f>Data!E274</f>
        <v>46073.057303240741</v>
      </c>
      <c r="E275" s="56">
        <f t="shared" si="16"/>
        <v>0</v>
      </c>
      <c r="F275" s="12" t="str">
        <f>Data!F274</f>
        <v>Telematics device fault: Check device installation as the accelerometer was disabled due to excessive data</v>
      </c>
      <c r="G275" s="14" t="str">
        <f>Data!A274&amp;" "&amp;Data!F274</f>
        <v>Demo - 41 Telematics device fault: Check device installation as the accelerometer was disabled due to excessive data</v>
      </c>
      <c r="H275" s="56">
        <f>IF(COUNTIF($G$10:G275,G275)&gt;1,0,1)</f>
        <v>0</v>
      </c>
      <c r="I275" s="12" t="str">
        <f>IF(L275=FALSE,Data!J274," ")</f>
        <v xml:space="preserve"> </v>
      </c>
      <c r="J275" s="15" t="b">
        <f t="shared" si="17"/>
        <v>0</v>
      </c>
      <c r="K275" s="12" t="str">
        <f>Data!H274</f>
        <v>Telematics Device</v>
      </c>
      <c r="L275" s="15" t="b">
        <f t="shared" si="18"/>
        <v>1</v>
      </c>
      <c r="M275" s="14" t="str">
        <f>Data!I274</f>
        <v>Telematics device</v>
      </c>
      <c r="N275" s="15" t="str">
        <f>Data!G274</f>
        <v>265</v>
      </c>
      <c r="O275" s="15" t="b">
        <f t="shared" si="19"/>
        <v>1</v>
      </c>
      <c r="P275" s="12" t="str">
        <f>IF(Data!K274=FALSE(),"", Data!K274)</f>
        <v/>
      </c>
      <c r="Q275" s="12" t="str">
        <f>IF(Data!L274=FALSE(),"", Data!L274)</f>
        <v/>
      </c>
      <c r="R275" s="12" t="str">
        <f>IF(Data!M274=FALSE(),"", Data!M274)</f>
        <v/>
      </c>
      <c r="S275" s="12" t="str">
        <f>IF(Data!N274=FALSE(),"", Data!N274)</f>
        <v/>
      </c>
    </row>
    <row r="276" spans="1:19" ht="16.5">
      <c r="A276" s="12" t="str">
        <f>Data!A275</f>
        <v>Demo - 41</v>
      </c>
      <c r="B276" s="12" t="str">
        <f>Data!B275</f>
        <v>Vehicle, Company Group</v>
      </c>
      <c r="C276" s="12" t="str">
        <f>Data!D275</f>
        <v>b29</v>
      </c>
      <c r="D276" s="13">
        <f>Data!E275</f>
        <v>46073.075868055559</v>
      </c>
      <c r="E276" s="56">
        <f t="shared" si="16"/>
        <v>0</v>
      </c>
      <c r="F276" s="12" t="str">
        <f>Data!F275</f>
        <v>Telematics device fault: Check device installation as the accelerometer was disabled due to excessive data</v>
      </c>
      <c r="G276" s="14" t="str">
        <f>Data!A275&amp;" "&amp;Data!F275</f>
        <v>Demo - 41 Telematics device fault: Check device installation as the accelerometer was disabled due to excessive data</v>
      </c>
      <c r="H276" s="56">
        <f>IF(COUNTIF($G$10:G276,G276)&gt;1,0,1)</f>
        <v>0</v>
      </c>
      <c r="I276" s="12" t="str">
        <f>IF(L276=FALSE,Data!J275," ")</f>
        <v xml:space="preserve"> </v>
      </c>
      <c r="J276" s="15" t="b">
        <f t="shared" si="17"/>
        <v>0</v>
      </c>
      <c r="K276" s="12" t="str">
        <f>Data!H275</f>
        <v>Telematics Device</v>
      </c>
      <c r="L276" s="15" t="b">
        <f t="shared" si="18"/>
        <v>1</v>
      </c>
      <c r="M276" s="14" t="str">
        <f>Data!I275</f>
        <v>Telematics device</v>
      </c>
      <c r="N276" s="15" t="str">
        <f>Data!G275</f>
        <v>265</v>
      </c>
      <c r="O276" s="15" t="b">
        <f t="shared" si="19"/>
        <v>1</v>
      </c>
      <c r="P276" s="12" t="str">
        <f>IF(Data!K275=FALSE(),"", Data!K275)</f>
        <v/>
      </c>
      <c r="Q276" s="12" t="str">
        <f>IF(Data!L275=FALSE(),"", Data!L275)</f>
        <v/>
      </c>
      <c r="R276" s="12" t="str">
        <f>IF(Data!M275=FALSE(),"", Data!M275)</f>
        <v/>
      </c>
      <c r="S276" s="12" t="str">
        <f>IF(Data!N275=FALSE(),"", Data!N275)</f>
        <v/>
      </c>
    </row>
    <row r="277" spans="1:19" ht="16.5">
      <c r="A277" s="12" t="str">
        <f>Data!A276</f>
        <v>Demo - 41</v>
      </c>
      <c r="B277" s="12" t="str">
        <f>Data!B276</f>
        <v>Vehicle, Company Group</v>
      </c>
      <c r="C277" s="12" t="str">
        <f>Data!D276</f>
        <v>b29</v>
      </c>
      <c r="D277" s="13">
        <f>Data!E276</f>
        <v>46073.088831018518</v>
      </c>
      <c r="E277" s="56">
        <f t="shared" si="16"/>
        <v>0</v>
      </c>
      <c r="F277" s="12" t="str">
        <f>Data!F276</f>
        <v>Telematics device fault: Check device installation as the accelerometer was disabled due to excessive data</v>
      </c>
      <c r="G277" s="14" t="str">
        <f>Data!A276&amp;" "&amp;Data!F276</f>
        <v>Demo - 41 Telematics device fault: Check device installation as the accelerometer was disabled due to excessive data</v>
      </c>
      <c r="H277" s="56">
        <f>IF(COUNTIF($G$10:G277,G277)&gt;1,0,1)</f>
        <v>0</v>
      </c>
      <c r="I277" s="12" t="str">
        <f>IF(L277=FALSE,Data!J276," ")</f>
        <v xml:space="preserve"> </v>
      </c>
      <c r="J277" s="15" t="b">
        <f t="shared" si="17"/>
        <v>0</v>
      </c>
      <c r="K277" s="12" t="str">
        <f>Data!H276</f>
        <v>Telematics Device</v>
      </c>
      <c r="L277" s="15" t="b">
        <f t="shared" si="18"/>
        <v>1</v>
      </c>
      <c r="M277" s="14" t="str">
        <f>Data!I276</f>
        <v>Telematics device</v>
      </c>
      <c r="N277" s="15" t="str">
        <f>Data!G276</f>
        <v>265</v>
      </c>
      <c r="O277" s="15" t="b">
        <f t="shared" si="19"/>
        <v>1</v>
      </c>
      <c r="P277" s="12" t="str">
        <f>IF(Data!K276=FALSE(),"", Data!K276)</f>
        <v/>
      </c>
      <c r="Q277" s="12" t="str">
        <f>IF(Data!L276=FALSE(),"", Data!L276)</f>
        <v/>
      </c>
      <c r="R277" s="12" t="str">
        <f>IF(Data!M276=FALSE(),"", Data!M276)</f>
        <v/>
      </c>
      <c r="S277" s="12" t="str">
        <f>IF(Data!N276=FALSE(),"", Data!N276)</f>
        <v/>
      </c>
    </row>
    <row r="278" spans="1:19" ht="16.5">
      <c r="A278" s="12" t="str">
        <f>Data!A277</f>
        <v>Demo - 41</v>
      </c>
      <c r="B278" s="12" t="str">
        <f>Data!B277</f>
        <v>Vehicle, Company Group</v>
      </c>
      <c r="C278" s="12" t="str">
        <f>Data!D277</f>
        <v>b29</v>
      </c>
      <c r="D278" s="13">
        <f>Data!E277</f>
        <v>46073.11613425926</v>
      </c>
      <c r="E278" s="56">
        <f t="shared" si="16"/>
        <v>0</v>
      </c>
      <c r="F278" s="12" t="str">
        <f>Data!F277</f>
        <v>Telematics device fault: Check device installation as the accelerometer was disabled due to excessive data</v>
      </c>
      <c r="G278" s="14" t="str">
        <f>Data!A277&amp;" "&amp;Data!F277</f>
        <v>Demo - 41 Telematics device fault: Check device installation as the accelerometer was disabled due to excessive data</v>
      </c>
      <c r="H278" s="56">
        <f>IF(COUNTIF($G$10:G278,G278)&gt;1,0,1)</f>
        <v>0</v>
      </c>
      <c r="I278" s="12" t="str">
        <f>IF(L278=FALSE,Data!J277," ")</f>
        <v xml:space="preserve"> </v>
      </c>
      <c r="J278" s="15" t="b">
        <f t="shared" si="17"/>
        <v>0</v>
      </c>
      <c r="K278" s="12" t="str">
        <f>Data!H277</f>
        <v>Telematics Device</v>
      </c>
      <c r="L278" s="15" t="b">
        <f t="shared" si="18"/>
        <v>1</v>
      </c>
      <c r="M278" s="14" t="str">
        <f>Data!I277</f>
        <v>Telematics device</v>
      </c>
      <c r="N278" s="15" t="str">
        <f>Data!G277</f>
        <v>265</v>
      </c>
      <c r="O278" s="15" t="b">
        <f t="shared" si="19"/>
        <v>1</v>
      </c>
      <c r="P278" s="12" t="str">
        <f>IF(Data!K277=FALSE(),"", Data!K277)</f>
        <v/>
      </c>
      <c r="Q278" s="12" t="str">
        <f>IF(Data!L277=FALSE(),"", Data!L277)</f>
        <v/>
      </c>
      <c r="R278" s="12" t="str">
        <f>IF(Data!M277=FALSE(),"", Data!M277)</f>
        <v/>
      </c>
      <c r="S278" s="12" t="str">
        <f>IF(Data!N277=FALSE(),"", Data!N277)</f>
        <v/>
      </c>
    </row>
    <row r="279" spans="1:19" ht="16.5">
      <c r="A279" s="12" t="str">
        <f>Data!A278</f>
        <v>Demo - 41</v>
      </c>
      <c r="B279" s="12" t="str">
        <f>Data!B278</f>
        <v>Vehicle, Company Group</v>
      </c>
      <c r="C279" s="12" t="str">
        <f>Data!D278</f>
        <v>b29</v>
      </c>
      <c r="D279" s="13">
        <f>Data!E278</f>
        <v>46073.170810185184</v>
      </c>
      <c r="E279" s="56">
        <f t="shared" si="16"/>
        <v>0</v>
      </c>
      <c r="F279" s="12" t="str">
        <f>Data!F278</f>
        <v>Telematics device fault: Check device installation as the accelerometer was disabled due to excessive data</v>
      </c>
      <c r="G279" s="14" t="str">
        <f>Data!A278&amp;" "&amp;Data!F278</f>
        <v>Demo - 41 Telematics device fault: Check device installation as the accelerometer was disabled due to excessive data</v>
      </c>
      <c r="H279" s="56">
        <f>IF(COUNTIF($G$10:G279,G279)&gt;1,0,1)</f>
        <v>0</v>
      </c>
      <c r="I279" s="12" t="str">
        <f>IF(L279=FALSE,Data!J278," ")</f>
        <v xml:space="preserve"> </v>
      </c>
      <c r="J279" s="15" t="b">
        <f t="shared" si="17"/>
        <v>0</v>
      </c>
      <c r="K279" s="12" t="str">
        <f>Data!H278</f>
        <v>Telematics Device</v>
      </c>
      <c r="L279" s="15" t="b">
        <f t="shared" si="18"/>
        <v>1</v>
      </c>
      <c r="M279" s="14" t="str">
        <f>Data!I278</f>
        <v>Telematics device</v>
      </c>
      <c r="N279" s="15" t="str">
        <f>Data!G278</f>
        <v>265</v>
      </c>
      <c r="O279" s="15" t="b">
        <f t="shared" si="19"/>
        <v>1</v>
      </c>
      <c r="P279" s="12" t="str">
        <f>IF(Data!K278=FALSE(),"", Data!K278)</f>
        <v/>
      </c>
      <c r="Q279" s="12" t="str">
        <f>IF(Data!L278=FALSE(),"", Data!L278)</f>
        <v/>
      </c>
      <c r="R279" s="12" t="str">
        <f>IF(Data!M278=FALSE(),"", Data!M278)</f>
        <v/>
      </c>
      <c r="S279" s="12" t="str">
        <f>IF(Data!N278=FALSE(),"", Data!N278)</f>
        <v/>
      </c>
    </row>
    <row r="280" spans="1:19" ht="16.5">
      <c r="A280" s="12" t="str">
        <f>Data!A279</f>
        <v>Demo - 41</v>
      </c>
      <c r="B280" s="12" t="str">
        <f>Data!B279</f>
        <v>Vehicle, Company Group</v>
      </c>
      <c r="C280" s="12" t="str">
        <f>Data!D279</f>
        <v>b29</v>
      </c>
      <c r="D280" s="13">
        <f>Data!E279</f>
        <v>46073.200856481482</v>
      </c>
      <c r="E280" s="56">
        <f t="shared" si="16"/>
        <v>0</v>
      </c>
      <c r="F280" s="12" t="str">
        <f>Data!F279</f>
        <v>Telematics device fault: Check device installation as the accelerometer was disabled due to excessive data</v>
      </c>
      <c r="G280" s="14" t="str">
        <f>Data!A279&amp;" "&amp;Data!F279</f>
        <v>Demo - 41 Telematics device fault: Check device installation as the accelerometer was disabled due to excessive data</v>
      </c>
      <c r="H280" s="56">
        <f>IF(COUNTIF($G$10:G280,G280)&gt;1,0,1)</f>
        <v>0</v>
      </c>
      <c r="I280" s="12" t="str">
        <f>IF(L280=FALSE,Data!J279," ")</f>
        <v xml:space="preserve"> </v>
      </c>
      <c r="J280" s="15" t="b">
        <f t="shared" si="17"/>
        <v>0</v>
      </c>
      <c r="K280" s="12" t="str">
        <f>Data!H279</f>
        <v>Telematics Device</v>
      </c>
      <c r="L280" s="15" t="b">
        <f t="shared" si="18"/>
        <v>1</v>
      </c>
      <c r="M280" s="14" t="str">
        <f>Data!I279</f>
        <v>Telematics device</v>
      </c>
      <c r="N280" s="15" t="str">
        <f>Data!G279</f>
        <v>265</v>
      </c>
      <c r="O280" s="15" t="b">
        <f t="shared" si="19"/>
        <v>1</v>
      </c>
      <c r="P280" s="12" t="str">
        <f>IF(Data!K279=FALSE(),"", Data!K279)</f>
        <v/>
      </c>
      <c r="Q280" s="12" t="str">
        <f>IF(Data!L279=FALSE(),"", Data!L279)</f>
        <v/>
      </c>
      <c r="R280" s="12" t="str">
        <f>IF(Data!M279=FALSE(),"", Data!M279)</f>
        <v/>
      </c>
      <c r="S280" s="12" t="str">
        <f>IF(Data!N279=FALSE(),"", Data!N279)</f>
        <v/>
      </c>
    </row>
    <row r="281" spans="1:19" ht="16.5">
      <c r="A281" s="12" t="str">
        <f>Data!A280</f>
        <v>Demo - 42</v>
      </c>
      <c r="B281" s="12" t="str">
        <f>Data!B280</f>
        <v>Vehicle, Company Group</v>
      </c>
      <c r="C281" s="12" t="str">
        <f>Data!D280</f>
        <v>b2A</v>
      </c>
      <c r="D281" s="13">
        <f>Data!E280</f>
        <v>46068.087008101953</v>
      </c>
      <c r="E281" s="56">
        <f t="shared" si="16"/>
        <v>0</v>
      </c>
      <c r="F281" s="12" t="str">
        <f>Data!F280</f>
        <v>Telematics device fault: Check device installation as the accelerometer was disabled due to excessive data</v>
      </c>
      <c r="G281" s="14" t="str">
        <f>Data!A280&amp;" "&amp;Data!F280</f>
        <v>Demo - 42 Telematics device fault: Check device installation as the accelerometer was disabled due to excessive data</v>
      </c>
      <c r="H281" s="56">
        <f>IF(COUNTIF($G$10:G281,G281)&gt;1,0,1)</f>
        <v>1</v>
      </c>
      <c r="I281" s="12" t="str">
        <f>IF(L281=FALSE,Data!J280," ")</f>
        <v xml:space="preserve"> </v>
      </c>
      <c r="J281" s="15" t="b">
        <f t="shared" si="17"/>
        <v>0</v>
      </c>
      <c r="K281" s="12" t="str">
        <f>Data!H280</f>
        <v>Telematics Device</v>
      </c>
      <c r="L281" s="15" t="b">
        <f t="shared" si="18"/>
        <v>1</v>
      </c>
      <c r="M281" s="14" t="str">
        <f>Data!I280</f>
        <v>Telematics device</v>
      </c>
      <c r="N281" s="15" t="str">
        <f>Data!G280</f>
        <v>265</v>
      </c>
      <c r="O281" s="15" t="b">
        <f t="shared" si="19"/>
        <v>1</v>
      </c>
      <c r="P281" s="12" t="str">
        <f>IF(Data!K280=FALSE(),"", Data!K280)</f>
        <v/>
      </c>
      <c r="Q281" s="12" t="str">
        <f>IF(Data!L280=FALSE(),"", Data!L280)</f>
        <v/>
      </c>
      <c r="R281" s="12" t="str">
        <f>IF(Data!M280=FALSE(),"", Data!M280)</f>
        <v/>
      </c>
      <c r="S281" s="12" t="str">
        <f>IF(Data!N280=FALSE(),"", Data!N280)</f>
        <v/>
      </c>
    </row>
    <row r="282" spans="1:19" ht="16.5">
      <c r="A282" s="12" t="str">
        <f>Data!A281</f>
        <v>Demo - 42</v>
      </c>
      <c r="B282" s="12" t="str">
        <f>Data!B281</f>
        <v>Vehicle, Company Group</v>
      </c>
      <c r="C282" s="12" t="str">
        <f>Data!D281</f>
        <v>b2A</v>
      </c>
      <c r="D282" s="13">
        <f>Data!E281</f>
        <v>46068.16777199084</v>
      </c>
      <c r="E282" s="56">
        <f t="shared" si="16"/>
        <v>0</v>
      </c>
      <c r="F282" s="12" t="str">
        <f>Data!F281</f>
        <v>Telematics device fault: Check device installation as the accelerometer was disabled due to excessive data</v>
      </c>
      <c r="G282" s="14" t="str">
        <f>Data!A281&amp;" "&amp;Data!F281</f>
        <v>Demo - 42 Telematics device fault: Check device installation as the accelerometer was disabled due to excessive data</v>
      </c>
      <c r="H282" s="56">
        <f>IF(COUNTIF($G$10:G282,G282)&gt;1,0,1)</f>
        <v>0</v>
      </c>
      <c r="I282" s="12" t="str">
        <f>IF(L282=FALSE,Data!J281," ")</f>
        <v xml:space="preserve"> </v>
      </c>
      <c r="J282" s="15" t="b">
        <f t="shared" si="17"/>
        <v>0</v>
      </c>
      <c r="K282" s="12" t="str">
        <f>Data!H281</f>
        <v>Telematics Device</v>
      </c>
      <c r="L282" s="15" t="b">
        <f t="shared" si="18"/>
        <v>1</v>
      </c>
      <c r="M282" s="14" t="str">
        <f>Data!I281</f>
        <v>Telematics device</v>
      </c>
      <c r="N282" s="15" t="str">
        <f>Data!G281</f>
        <v>265</v>
      </c>
      <c r="O282" s="15" t="b">
        <f t="shared" si="19"/>
        <v>1</v>
      </c>
      <c r="P282" s="12" t="str">
        <f>IF(Data!K281=FALSE(),"", Data!K281)</f>
        <v/>
      </c>
      <c r="Q282" s="12" t="str">
        <f>IF(Data!L281=FALSE(),"", Data!L281)</f>
        <v/>
      </c>
      <c r="R282" s="12" t="str">
        <f>IF(Data!M281=FALSE(),"", Data!M281)</f>
        <v/>
      </c>
      <c r="S282" s="12" t="str">
        <f>IF(Data!N281=FALSE(),"", Data!N281)</f>
        <v/>
      </c>
    </row>
    <row r="283" spans="1:19" ht="16.5">
      <c r="A283" s="12" t="str">
        <f>Data!A282</f>
        <v>Demo - 42</v>
      </c>
      <c r="B283" s="12" t="str">
        <f>Data!B282</f>
        <v>Vehicle, Company Group</v>
      </c>
      <c r="C283" s="12" t="str">
        <f>Data!D282</f>
        <v>b2A</v>
      </c>
      <c r="D283" s="13">
        <f>Data!E282</f>
        <v>46068.210491898251</v>
      </c>
      <c r="E283" s="56">
        <f t="shared" si="16"/>
        <v>0</v>
      </c>
      <c r="F283" s="12" t="str">
        <f>Data!F282</f>
        <v>Telematics device fault: Check device installation as the accelerometer was disabled due to excessive data</v>
      </c>
      <c r="G283" s="14" t="str">
        <f>Data!A282&amp;" "&amp;Data!F282</f>
        <v>Demo - 42 Telematics device fault: Check device installation as the accelerometer was disabled due to excessive data</v>
      </c>
      <c r="H283" s="56">
        <f>IF(COUNTIF($G$10:G283,G283)&gt;1,0,1)</f>
        <v>0</v>
      </c>
      <c r="I283" s="12" t="str">
        <f>IF(L283=FALSE,Data!J282," ")</f>
        <v xml:space="preserve"> </v>
      </c>
      <c r="J283" s="15" t="b">
        <f t="shared" si="17"/>
        <v>0</v>
      </c>
      <c r="K283" s="12" t="str">
        <f>Data!H282</f>
        <v>Telematics Device</v>
      </c>
      <c r="L283" s="15" t="b">
        <f t="shared" si="18"/>
        <v>1</v>
      </c>
      <c r="M283" s="14" t="str">
        <f>Data!I282</f>
        <v>Telematics device</v>
      </c>
      <c r="N283" s="15" t="str">
        <f>Data!G282</f>
        <v>265</v>
      </c>
      <c r="O283" s="15" t="b">
        <f t="shared" si="19"/>
        <v>1</v>
      </c>
      <c r="P283" s="12" t="str">
        <f>IF(Data!K282=FALSE(),"", Data!K282)</f>
        <v/>
      </c>
      <c r="Q283" s="12" t="str">
        <f>IF(Data!L282=FALSE(),"", Data!L282)</f>
        <v/>
      </c>
      <c r="R283" s="12" t="str">
        <f>IF(Data!M282=FALSE(),"", Data!M282)</f>
        <v/>
      </c>
      <c r="S283" s="12" t="str">
        <f>IF(Data!N282=FALSE(),"", Data!N282)</f>
        <v/>
      </c>
    </row>
    <row r="284" spans="1:19" ht="16.5">
      <c r="A284" s="12" t="str">
        <f>Data!A283</f>
        <v>Demo - 42</v>
      </c>
      <c r="B284" s="12" t="str">
        <f>Data!B283</f>
        <v>Vehicle, Company Group</v>
      </c>
      <c r="C284" s="12" t="str">
        <f>Data!D283</f>
        <v>b2A</v>
      </c>
      <c r="D284" s="13">
        <f>Data!E283</f>
        <v>46068.227170138991</v>
      </c>
      <c r="E284" s="56">
        <f t="shared" si="16"/>
        <v>0</v>
      </c>
      <c r="F284" s="12" t="str">
        <f>Data!F283</f>
        <v>Telematics device fault: Check device installation as the accelerometer was disabled due to excessive data</v>
      </c>
      <c r="G284" s="14" t="str">
        <f>Data!A283&amp;" "&amp;Data!F283</f>
        <v>Demo - 42 Telematics device fault: Check device installation as the accelerometer was disabled due to excessive data</v>
      </c>
      <c r="H284" s="56">
        <f>IF(COUNTIF($G$10:G284,G284)&gt;1,0,1)</f>
        <v>0</v>
      </c>
      <c r="I284" s="12" t="str">
        <f>IF(L284=FALSE,Data!J283," ")</f>
        <v xml:space="preserve"> </v>
      </c>
      <c r="J284" s="15" t="b">
        <f t="shared" si="17"/>
        <v>0</v>
      </c>
      <c r="K284" s="12" t="str">
        <f>Data!H283</f>
        <v>Telematics Device</v>
      </c>
      <c r="L284" s="15" t="b">
        <f t="shared" si="18"/>
        <v>1</v>
      </c>
      <c r="M284" s="14" t="str">
        <f>Data!I283</f>
        <v>Telematics device</v>
      </c>
      <c r="N284" s="15" t="str">
        <f>Data!G283</f>
        <v>265</v>
      </c>
      <c r="O284" s="15" t="b">
        <f t="shared" si="19"/>
        <v>1</v>
      </c>
      <c r="P284" s="12" t="str">
        <f>IF(Data!K283=FALSE(),"", Data!K283)</f>
        <v/>
      </c>
      <c r="Q284" s="12" t="str">
        <f>IF(Data!L283=FALSE(),"", Data!L283)</f>
        <v/>
      </c>
      <c r="R284" s="12" t="str">
        <f>IF(Data!M283=FALSE(),"", Data!M283)</f>
        <v/>
      </c>
      <c r="S284" s="12" t="str">
        <f>IF(Data!N283=FALSE(),"", Data!N283)</f>
        <v/>
      </c>
    </row>
    <row r="285" spans="1:19" ht="16.5">
      <c r="A285" s="12" t="str">
        <f>Data!A284</f>
        <v>Demo - 42</v>
      </c>
      <c r="B285" s="12" t="str">
        <f>Data!B284</f>
        <v>Vehicle, Company Group</v>
      </c>
      <c r="C285" s="12" t="str">
        <f>Data!D284</f>
        <v>b2A</v>
      </c>
      <c r="D285" s="13">
        <f>Data!E284</f>
        <v>46068.251221064915</v>
      </c>
      <c r="E285" s="56">
        <f t="shared" si="16"/>
        <v>0</v>
      </c>
      <c r="F285" s="12" t="str">
        <f>Data!F284</f>
        <v>Telematics device fault: Check device installation as the accelerometer was disabled due to excessive data</v>
      </c>
      <c r="G285" s="14" t="str">
        <f>Data!A284&amp;" "&amp;Data!F284</f>
        <v>Demo - 42 Telematics device fault: Check device installation as the accelerometer was disabled due to excessive data</v>
      </c>
      <c r="H285" s="56">
        <f>IF(COUNTIF($G$10:G285,G285)&gt;1,0,1)</f>
        <v>0</v>
      </c>
      <c r="I285" s="12" t="str">
        <f>IF(L285=FALSE,Data!J284," ")</f>
        <v xml:space="preserve"> </v>
      </c>
      <c r="J285" s="15" t="b">
        <f t="shared" si="17"/>
        <v>0</v>
      </c>
      <c r="K285" s="12" t="str">
        <f>Data!H284</f>
        <v>Telematics Device</v>
      </c>
      <c r="L285" s="15" t="b">
        <f t="shared" si="18"/>
        <v>1</v>
      </c>
      <c r="M285" s="14" t="str">
        <f>Data!I284</f>
        <v>Telematics device</v>
      </c>
      <c r="N285" s="15" t="str">
        <f>Data!G284</f>
        <v>265</v>
      </c>
      <c r="O285" s="15" t="b">
        <f t="shared" si="19"/>
        <v>1</v>
      </c>
      <c r="P285" s="12" t="str">
        <f>IF(Data!K284=FALSE(),"", Data!K284)</f>
        <v/>
      </c>
      <c r="Q285" s="12" t="str">
        <f>IF(Data!L284=FALSE(),"", Data!L284)</f>
        <v/>
      </c>
      <c r="R285" s="12" t="str">
        <f>IF(Data!M284=FALSE(),"", Data!M284)</f>
        <v/>
      </c>
      <c r="S285" s="12" t="str">
        <f>IF(Data!N284=FALSE(),"", Data!N284)</f>
        <v/>
      </c>
    </row>
    <row r="286" spans="1:19" ht="16.5">
      <c r="A286" s="12" t="str">
        <f>Data!A285</f>
        <v>Demo - 42</v>
      </c>
      <c r="B286" s="12" t="str">
        <f>Data!B285</f>
        <v>Vehicle, Company Group</v>
      </c>
      <c r="C286" s="12" t="str">
        <f>Data!D285</f>
        <v>b2A</v>
      </c>
      <c r="D286" s="13">
        <f>Data!E285</f>
        <v>46068.279751157512</v>
      </c>
      <c r="E286" s="56">
        <f t="shared" si="16"/>
        <v>0</v>
      </c>
      <c r="F286" s="12" t="str">
        <f>Data!F285</f>
        <v>Telematics device fault: Check device installation as the accelerometer was disabled due to excessive data</v>
      </c>
      <c r="G286" s="14" t="str">
        <f>Data!A285&amp;" "&amp;Data!F285</f>
        <v>Demo - 42 Telematics device fault: Check device installation as the accelerometer was disabled due to excessive data</v>
      </c>
      <c r="H286" s="56">
        <f>IF(COUNTIF($G$10:G286,G286)&gt;1,0,1)</f>
        <v>0</v>
      </c>
      <c r="I286" s="12" t="str">
        <f>IF(L286=FALSE,Data!J285," ")</f>
        <v xml:space="preserve"> </v>
      </c>
      <c r="J286" s="15" t="b">
        <f t="shared" si="17"/>
        <v>0</v>
      </c>
      <c r="K286" s="12" t="str">
        <f>Data!H285</f>
        <v>Telematics Device</v>
      </c>
      <c r="L286" s="15" t="b">
        <f t="shared" si="18"/>
        <v>1</v>
      </c>
      <c r="M286" s="14" t="str">
        <f>Data!I285</f>
        <v>Telematics device</v>
      </c>
      <c r="N286" s="15" t="str">
        <f>Data!G285</f>
        <v>265</v>
      </c>
      <c r="O286" s="15" t="b">
        <f t="shared" si="19"/>
        <v>1</v>
      </c>
      <c r="P286" s="12" t="str">
        <f>IF(Data!K285=FALSE(),"", Data!K285)</f>
        <v/>
      </c>
      <c r="Q286" s="12" t="str">
        <f>IF(Data!L285=FALSE(),"", Data!L285)</f>
        <v/>
      </c>
      <c r="R286" s="12" t="str">
        <f>IF(Data!M285=FALSE(),"", Data!M285)</f>
        <v/>
      </c>
      <c r="S286" s="12" t="str">
        <f>IF(Data!N285=FALSE(),"", Data!N285)</f>
        <v/>
      </c>
    </row>
    <row r="287" spans="1:19" ht="16.5">
      <c r="A287" s="12" t="str">
        <f>Data!A286</f>
        <v>Demo - 42</v>
      </c>
      <c r="B287" s="12" t="str">
        <f>Data!B286</f>
        <v>Vehicle, Company Group</v>
      </c>
      <c r="C287" s="12" t="str">
        <f>Data!D286</f>
        <v>b2A</v>
      </c>
      <c r="D287" s="13">
        <f>Data!E286</f>
        <v>46068.317980324173</v>
      </c>
      <c r="E287" s="56">
        <f t="shared" si="16"/>
        <v>0</v>
      </c>
      <c r="F287" s="12" t="str">
        <f>Data!F286</f>
        <v>Telematics device fault: Check device installation as the accelerometer was disabled due to excessive data</v>
      </c>
      <c r="G287" s="14" t="str">
        <f>Data!A286&amp;" "&amp;Data!F286</f>
        <v>Demo - 42 Telematics device fault: Check device installation as the accelerometer was disabled due to excessive data</v>
      </c>
      <c r="H287" s="56">
        <f>IF(COUNTIF($G$10:G287,G287)&gt;1,0,1)</f>
        <v>0</v>
      </c>
      <c r="I287" s="12" t="str">
        <f>IF(L287=FALSE,Data!J286," ")</f>
        <v xml:space="preserve"> </v>
      </c>
      <c r="J287" s="15" t="b">
        <f t="shared" si="17"/>
        <v>0</v>
      </c>
      <c r="K287" s="12" t="str">
        <f>Data!H286</f>
        <v>Telematics Device</v>
      </c>
      <c r="L287" s="15" t="b">
        <f t="shared" si="18"/>
        <v>1</v>
      </c>
      <c r="M287" s="14" t="str">
        <f>Data!I286</f>
        <v>Telematics device</v>
      </c>
      <c r="N287" s="15" t="str">
        <f>Data!G286</f>
        <v>265</v>
      </c>
      <c r="O287" s="15" t="b">
        <f t="shared" si="19"/>
        <v>1</v>
      </c>
      <c r="P287" s="12" t="str">
        <f>IF(Data!K286=FALSE(),"", Data!K286)</f>
        <v/>
      </c>
      <c r="Q287" s="12" t="str">
        <f>IF(Data!L286=FALSE(),"", Data!L286)</f>
        <v/>
      </c>
      <c r="R287" s="12" t="str">
        <f>IF(Data!M286=FALSE(),"", Data!M286)</f>
        <v/>
      </c>
      <c r="S287" s="12" t="str">
        <f>IF(Data!N286=FALSE(),"", Data!N286)</f>
        <v/>
      </c>
    </row>
    <row r="288" spans="1:19" ht="16.5">
      <c r="A288" s="12" t="str">
        <f>Data!A287</f>
        <v>Demo - 42</v>
      </c>
      <c r="B288" s="12" t="str">
        <f>Data!B287</f>
        <v>Vehicle, Company Group</v>
      </c>
      <c r="C288" s="12" t="str">
        <f>Data!D287</f>
        <v>b2A</v>
      </c>
      <c r="D288" s="13">
        <f>Data!E287</f>
        <v>46068.332158564917</v>
      </c>
      <c r="E288" s="56">
        <f t="shared" si="16"/>
        <v>0</v>
      </c>
      <c r="F288" s="12" t="str">
        <f>Data!F287</f>
        <v>Telematics device fault: Check device installation as the accelerometer was disabled due to excessive data</v>
      </c>
      <c r="G288" s="14" t="str">
        <f>Data!A287&amp;" "&amp;Data!F287</f>
        <v>Demo - 42 Telematics device fault: Check device installation as the accelerometer was disabled due to excessive data</v>
      </c>
      <c r="H288" s="56">
        <f>IF(COUNTIF($G$10:G288,G288)&gt;1,0,1)</f>
        <v>0</v>
      </c>
      <c r="I288" s="12" t="str">
        <f>IF(L288=FALSE,Data!J287," ")</f>
        <v xml:space="preserve"> </v>
      </c>
      <c r="J288" s="15" t="b">
        <f t="shared" si="17"/>
        <v>0</v>
      </c>
      <c r="K288" s="12" t="str">
        <f>Data!H287</f>
        <v>Telematics Device</v>
      </c>
      <c r="L288" s="15" t="b">
        <f t="shared" si="18"/>
        <v>1</v>
      </c>
      <c r="M288" s="14" t="str">
        <f>Data!I287</f>
        <v>Telematics device</v>
      </c>
      <c r="N288" s="15" t="str">
        <f>Data!G287</f>
        <v>265</v>
      </c>
      <c r="O288" s="15" t="b">
        <f t="shared" si="19"/>
        <v>1</v>
      </c>
      <c r="P288" s="12" t="str">
        <f>IF(Data!K287=FALSE(),"", Data!K287)</f>
        <v/>
      </c>
      <c r="Q288" s="12" t="str">
        <f>IF(Data!L287=FALSE(),"", Data!L287)</f>
        <v/>
      </c>
      <c r="R288" s="12" t="str">
        <f>IF(Data!M287=FALSE(),"", Data!M287)</f>
        <v/>
      </c>
      <c r="S288" s="12" t="str">
        <f>IF(Data!N287=FALSE(),"", Data!N287)</f>
        <v/>
      </c>
    </row>
    <row r="289" spans="1:19" ht="16.5">
      <c r="A289" s="12" t="str">
        <f>Data!A288</f>
        <v>Demo - 42</v>
      </c>
      <c r="B289" s="12" t="str">
        <f>Data!B288</f>
        <v>Vehicle, Company Group</v>
      </c>
      <c r="C289" s="12" t="str">
        <f>Data!D288</f>
        <v>b2A</v>
      </c>
      <c r="D289" s="13">
        <f>Data!E288</f>
        <v>46068.366672453805</v>
      </c>
      <c r="E289" s="56">
        <f t="shared" si="16"/>
        <v>0</v>
      </c>
      <c r="F289" s="12" t="str">
        <f>Data!F288</f>
        <v>Telematics device fault: Check device installation as the accelerometer was disabled due to excessive data</v>
      </c>
      <c r="G289" s="14" t="str">
        <f>Data!A288&amp;" "&amp;Data!F288</f>
        <v>Demo - 42 Telematics device fault: Check device installation as the accelerometer was disabled due to excessive data</v>
      </c>
      <c r="H289" s="56">
        <f>IF(COUNTIF($G$10:G289,G289)&gt;1,0,1)</f>
        <v>0</v>
      </c>
      <c r="I289" s="12" t="str">
        <f>IF(L289=FALSE,Data!J288," ")</f>
        <v xml:space="preserve"> </v>
      </c>
      <c r="J289" s="15" t="b">
        <f t="shared" si="17"/>
        <v>0</v>
      </c>
      <c r="K289" s="12" t="str">
        <f>Data!H288</f>
        <v>Telematics Device</v>
      </c>
      <c r="L289" s="15" t="b">
        <f t="shared" si="18"/>
        <v>1</v>
      </c>
      <c r="M289" s="14" t="str">
        <f>Data!I288</f>
        <v>Telematics device</v>
      </c>
      <c r="N289" s="15" t="str">
        <f>Data!G288</f>
        <v>265</v>
      </c>
      <c r="O289" s="15" t="b">
        <f t="shared" si="19"/>
        <v>1</v>
      </c>
      <c r="P289" s="12" t="str">
        <f>IF(Data!K288=FALSE(),"", Data!K288)</f>
        <v/>
      </c>
      <c r="Q289" s="12" t="str">
        <f>IF(Data!L288=FALSE(),"", Data!L288)</f>
        <v/>
      </c>
      <c r="R289" s="12" t="str">
        <f>IF(Data!M288=FALSE(),"", Data!M288)</f>
        <v/>
      </c>
      <c r="S289" s="12" t="str">
        <f>IF(Data!N288=FALSE(),"", Data!N288)</f>
        <v/>
      </c>
    </row>
    <row r="290" spans="1:19" ht="16.5">
      <c r="A290" s="12" t="str">
        <f>Data!A289</f>
        <v>Demo - 42</v>
      </c>
      <c r="B290" s="12" t="str">
        <f>Data!B289</f>
        <v>Vehicle, Company Group</v>
      </c>
      <c r="C290" s="12" t="str">
        <f>Data!D289</f>
        <v>b2A</v>
      </c>
      <c r="D290" s="13">
        <f>Data!E289</f>
        <v>46068.40219328714</v>
      </c>
      <c r="E290" s="56">
        <f t="shared" si="16"/>
        <v>0</v>
      </c>
      <c r="F290" s="12" t="str">
        <f>Data!F289</f>
        <v>Telematics device fault: Check device installation as the accelerometer was disabled due to excessive data</v>
      </c>
      <c r="G290" s="14" t="str">
        <f>Data!A289&amp;" "&amp;Data!F289</f>
        <v>Demo - 42 Telematics device fault: Check device installation as the accelerometer was disabled due to excessive data</v>
      </c>
      <c r="H290" s="56">
        <f>IF(COUNTIF($G$10:G290,G290)&gt;1,0,1)</f>
        <v>0</v>
      </c>
      <c r="I290" s="12" t="str">
        <f>IF(L290=FALSE,Data!J289," ")</f>
        <v xml:space="preserve"> </v>
      </c>
      <c r="J290" s="15" t="b">
        <f t="shared" si="17"/>
        <v>0</v>
      </c>
      <c r="K290" s="12" t="str">
        <f>Data!H289</f>
        <v>Telematics Device</v>
      </c>
      <c r="L290" s="15" t="b">
        <f t="shared" si="18"/>
        <v>1</v>
      </c>
      <c r="M290" s="14" t="str">
        <f>Data!I289</f>
        <v>Telematics device</v>
      </c>
      <c r="N290" s="15" t="str">
        <f>Data!G289</f>
        <v>265</v>
      </c>
      <c r="O290" s="15" t="b">
        <f t="shared" si="19"/>
        <v>1</v>
      </c>
      <c r="P290" s="12" t="str">
        <f>IF(Data!K289=FALSE(),"", Data!K289)</f>
        <v/>
      </c>
      <c r="Q290" s="12" t="str">
        <f>IF(Data!L289=FALSE(),"", Data!L289)</f>
        <v/>
      </c>
      <c r="R290" s="12" t="str">
        <f>IF(Data!M289=FALSE(),"", Data!M289)</f>
        <v/>
      </c>
      <c r="S290" s="12" t="str">
        <f>IF(Data!N289=FALSE(),"", Data!N289)</f>
        <v/>
      </c>
    </row>
    <row r="291" spans="1:19" ht="16.5">
      <c r="A291" s="12" t="str">
        <f>Data!A290</f>
        <v>Demo - 42</v>
      </c>
      <c r="B291" s="12" t="str">
        <f>Data!B290</f>
        <v>Vehicle, Company Group</v>
      </c>
      <c r="C291" s="12" t="str">
        <f>Data!D290</f>
        <v>b2A</v>
      </c>
      <c r="D291" s="13">
        <f>Data!E290</f>
        <v>46069.189913194547</v>
      </c>
      <c r="E291" s="56">
        <f t="shared" si="16"/>
        <v>0</v>
      </c>
      <c r="F291" s="12" t="str">
        <f>Data!F290</f>
        <v>Telematics device fault: Check device installation as the accelerometer was disabled due to excessive data</v>
      </c>
      <c r="G291" s="14" t="str">
        <f>Data!A290&amp;" "&amp;Data!F290</f>
        <v>Demo - 42 Telematics device fault: Check device installation as the accelerometer was disabled due to excessive data</v>
      </c>
      <c r="H291" s="56">
        <f>IF(COUNTIF($G$10:G291,G291)&gt;1,0,1)</f>
        <v>0</v>
      </c>
      <c r="I291" s="12" t="str">
        <f>IF(L291=FALSE,Data!J290," ")</f>
        <v xml:space="preserve"> </v>
      </c>
      <c r="J291" s="15" t="b">
        <f t="shared" si="17"/>
        <v>0</v>
      </c>
      <c r="K291" s="12" t="str">
        <f>Data!H290</f>
        <v>Telematics Device</v>
      </c>
      <c r="L291" s="15" t="b">
        <f t="shared" si="18"/>
        <v>1</v>
      </c>
      <c r="M291" s="14" t="str">
        <f>Data!I290</f>
        <v>Telematics device</v>
      </c>
      <c r="N291" s="15" t="str">
        <f>Data!G290</f>
        <v>265</v>
      </c>
      <c r="O291" s="15" t="b">
        <f t="shared" si="19"/>
        <v>1</v>
      </c>
      <c r="P291" s="12" t="str">
        <f>IF(Data!K290=FALSE(),"", Data!K290)</f>
        <v/>
      </c>
      <c r="Q291" s="12" t="str">
        <f>IF(Data!L290=FALSE(),"", Data!L290)</f>
        <v/>
      </c>
      <c r="R291" s="12" t="str">
        <f>IF(Data!M290=FALSE(),"", Data!M290)</f>
        <v/>
      </c>
      <c r="S291" s="12" t="str">
        <f>IF(Data!N290=FALSE(),"", Data!N290)</f>
        <v/>
      </c>
    </row>
    <row r="292" spans="1:19" ht="16.5">
      <c r="A292" s="12" t="str">
        <f>Data!A291</f>
        <v>Demo - 42</v>
      </c>
      <c r="B292" s="12" t="str">
        <f>Data!B291</f>
        <v>Vehicle, Company Group</v>
      </c>
      <c r="C292" s="12" t="str">
        <f>Data!D291</f>
        <v>b2A</v>
      </c>
      <c r="D292" s="13">
        <f>Data!E291</f>
        <v>46069.223778935288</v>
      </c>
      <c r="E292" s="56">
        <f t="shared" si="16"/>
        <v>0</v>
      </c>
      <c r="F292" s="12" t="str">
        <f>Data!F291</f>
        <v>Telematics device fault: Check device installation as the accelerometer was disabled due to excessive data</v>
      </c>
      <c r="G292" s="14" t="str">
        <f>Data!A291&amp;" "&amp;Data!F291</f>
        <v>Demo - 42 Telematics device fault: Check device installation as the accelerometer was disabled due to excessive data</v>
      </c>
      <c r="H292" s="56">
        <f>IF(COUNTIF($G$10:G292,G292)&gt;1,0,1)</f>
        <v>0</v>
      </c>
      <c r="I292" s="12" t="str">
        <f>IF(L292=FALSE,Data!J291," ")</f>
        <v xml:space="preserve"> </v>
      </c>
      <c r="J292" s="15" t="b">
        <f t="shared" si="17"/>
        <v>0</v>
      </c>
      <c r="K292" s="12" t="str">
        <f>Data!H291</f>
        <v>Telematics Device</v>
      </c>
      <c r="L292" s="15" t="b">
        <f t="shared" si="18"/>
        <v>1</v>
      </c>
      <c r="M292" s="14" t="str">
        <f>Data!I291</f>
        <v>Telematics device</v>
      </c>
      <c r="N292" s="15" t="str">
        <f>Data!G291</f>
        <v>265</v>
      </c>
      <c r="O292" s="15" t="b">
        <f t="shared" si="19"/>
        <v>1</v>
      </c>
      <c r="P292" s="12" t="str">
        <f>IF(Data!K291=FALSE(),"", Data!K291)</f>
        <v/>
      </c>
      <c r="Q292" s="12" t="str">
        <f>IF(Data!L291=FALSE(),"", Data!L291)</f>
        <v/>
      </c>
      <c r="R292" s="12" t="str">
        <f>IF(Data!M291=FALSE(),"", Data!M291)</f>
        <v/>
      </c>
      <c r="S292" s="12" t="str">
        <f>IF(Data!N291=FALSE(),"", Data!N291)</f>
        <v/>
      </c>
    </row>
    <row r="293" spans="1:19" ht="16.5">
      <c r="A293" s="12" t="str">
        <f>Data!A292</f>
        <v>Demo - 42</v>
      </c>
      <c r="B293" s="12" t="str">
        <f>Data!B292</f>
        <v>Vehicle, Company Group</v>
      </c>
      <c r="C293" s="12" t="str">
        <f>Data!D292</f>
        <v>b2A</v>
      </c>
      <c r="D293" s="13">
        <f>Data!E292</f>
        <v>46069.25752893529</v>
      </c>
      <c r="E293" s="56">
        <f t="shared" si="16"/>
        <v>0</v>
      </c>
      <c r="F293" s="12" t="str">
        <f>Data!F292</f>
        <v>Telematics device fault: Check device installation as the accelerometer was disabled due to excessive data</v>
      </c>
      <c r="G293" s="14" t="str">
        <f>Data!A292&amp;" "&amp;Data!F292</f>
        <v>Demo - 42 Telematics device fault: Check device installation as the accelerometer was disabled due to excessive data</v>
      </c>
      <c r="H293" s="56">
        <f>IF(COUNTIF($G$10:G293,G293)&gt;1,0,1)</f>
        <v>0</v>
      </c>
      <c r="I293" s="12" t="str">
        <f>IF(L293=FALSE,Data!J292," ")</f>
        <v xml:space="preserve"> </v>
      </c>
      <c r="J293" s="15" t="b">
        <f t="shared" si="17"/>
        <v>0</v>
      </c>
      <c r="K293" s="12" t="str">
        <f>Data!H292</f>
        <v>Telematics Device</v>
      </c>
      <c r="L293" s="15" t="b">
        <f t="shared" si="18"/>
        <v>1</v>
      </c>
      <c r="M293" s="14" t="str">
        <f>Data!I292</f>
        <v>Telematics device</v>
      </c>
      <c r="N293" s="15" t="str">
        <f>Data!G292</f>
        <v>265</v>
      </c>
      <c r="O293" s="15" t="b">
        <f t="shared" si="19"/>
        <v>1</v>
      </c>
      <c r="P293" s="12" t="str">
        <f>IF(Data!K292=FALSE(),"", Data!K292)</f>
        <v/>
      </c>
      <c r="Q293" s="12" t="str">
        <f>IF(Data!L292=FALSE(),"", Data!L292)</f>
        <v/>
      </c>
      <c r="R293" s="12" t="str">
        <f>IF(Data!M292=FALSE(),"", Data!M292)</f>
        <v/>
      </c>
      <c r="S293" s="12" t="str">
        <f>IF(Data!N292=FALSE(),"", Data!N292)</f>
        <v/>
      </c>
    </row>
    <row r="294" spans="1:19" ht="16.5">
      <c r="A294" s="12" t="str">
        <f>Data!A293</f>
        <v>Demo - 42</v>
      </c>
      <c r="B294" s="12" t="str">
        <f>Data!B293</f>
        <v>Vehicle, Company Group</v>
      </c>
      <c r="C294" s="12" t="str">
        <f>Data!D293</f>
        <v>b2A</v>
      </c>
      <c r="D294" s="13">
        <f>Data!E293</f>
        <v>46069.286846064919</v>
      </c>
      <c r="E294" s="56">
        <f t="shared" si="16"/>
        <v>0</v>
      </c>
      <c r="F294" s="12" t="str">
        <f>Data!F293</f>
        <v>Telematics device fault: Check device installation as the accelerometer was disabled due to excessive data</v>
      </c>
      <c r="G294" s="14" t="str">
        <f>Data!A293&amp;" "&amp;Data!F293</f>
        <v>Demo - 42 Telematics device fault: Check device installation as the accelerometer was disabled due to excessive data</v>
      </c>
      <c r="H294" s="56">
        <f>IF(COUNTIF($G$10:G294,G294)&gt;1,0,1)</f>
        <v>0</v>
      </c>
      <c r="I294" s="12" t="str">
        <f>IF(L294=FALSE,Data!J293," ")</f>
        <v xml:space="preserve"> </v>
      </c>
      <c r="J294" s="15" t="b">
        <f t="shared" si="17"/>
        <v>0</v>
      </c>
      <c r="K294" s="12" t="str">
        <f>Data!H293</f>
        <v>Telematics Device</v>
      </c>
      <c r="L294" s="15" t="b">
        <f t="shared" si="18"/>
        <v>1</v>
      </c>
      <c r="M294" s="14" t="str">
        <f>Data!I293</f>
        <v>Telematics device</v>
      </c>
      <c r="N294" s="15" t="str">
        <f>Data!G293</f>
        <v>265</v>
      </c>
      <c r="O294" s="15" t="b">
        <f t="shared" si="19"/>
        <v>1</v>
      </c>
      <c r="P294" s="12" t="str">
        <f>IF(Data!K293=FALSE(),"", Data!K293)</f>
        <v/>
      </c>
      <c r="Q294" s="12" t="str">
        <f>IF(Data!L293=FALSE(),"", Data!L293)</f>
        <v/>
      </c>
      <c r="R294" s="12" t="str">
        <f>IF(Data!M293=FALSE(),"", Data!M293)</f>
        <v/>
      </c>
      <c r="S294" s="12" t="str">
        <f>IF(Data!N293=FALSE(),"", Data!N293)</f>
        <v/>
      </c>
    </row>
    <row r="295" spans="1:19" ht="16.5">
      <c r="A295" s="12" t="str">
        <f>Data!A294</f>
        <v>Demo - 42</v>
      </c>
      <c r="B295" s="12" t="str">
        <f>Data!B294</f>
        <v>Vehicle, Company Group</v>
      </c>
      <c r="C295" s="12" t="str">
        <f>Data!D294</f>
        <v>b2A</v>
      </c>
      <c r="D295" s="13">
        <f>Data!E294</f>
        <v>46069.317968750103</v>
      </c>
      <c r="E295" s="56">
        <f t="shared" si="16"/>
        <v>0</v>
      </c>
      <c r="F295" s="12" t="str">
        <f>Data!F294</f>
        <v>Telematics device fault: Check device installation as the accelerometer was disabled due to excessive data</v>
      </c>
      <c r="G295" s="14" t="str">
        <f>Data!A294&amp;" "&amp;Data!F294</f>
        <v>Demo - 42 Telematics device fault: Check device installation as the accelerometer was disabled due to excessive data</v>
      </c>
      <c r="H295" s="56">
        <f>IF(COUNTIF($G$10:G295,G295)&gt;1,0,1)</f>
        <v>0</v>
      </c>
      <c r="I295" s="12" t="str">
        <f>IF(L295=FALSE,Data!J294," ")</f>
        <v xml:space="preserve"> </v>
      </c>
      <c r="J295" s="15" t="b">
        <f t="shared" si="17"/>
        <v>0</v>
      </c>
      <c r="K295" s="12" t="str">
        <f>Data!H294</f>
        <v>Telematics Device</v>
      </c>
      <c r="L295" s="15" t="b">
        <f t="shared" si="18"/>
        <v>1</v>
      </c>
      <c r="M295" s="14" t="str">
        <f>Data!I294</f>
        <v>Telematics device</v>
      </c>
      <c r="N295" s="15" t="str">
        <f>Data!G294</f>
        <v>265</v>
      </c>
      <c r="O295" s="15" t="b">
        <f t="shared" si="19"/>
        <v>1</v>
      </c>
      <c r="P295" s="12" t="str">
        <f>IF(Data!K294=FALSE(),"", Data!K294)</f>
        <v/>
      </c>
      <c r="Q295" s="12" t="str">
        <f>IF(Data!L294=FALSE(),"", Data!L294)</f>
        <v/>
      </c>
      <c r="R295" s="12" t="str">
        <f>IF(Data!M294=FALSE(),"", Data!M294)</f>
        <v/>
      </c>
      <c r="S295" s="12" t="str">
        <f>IF(Data!N294=FALSE(),"", Data!N294)</f>
        <v/>
      </c>
    </row>
    <row r="296" spans="1:19" ht="16.5">
      <c r="A296" s="12" t="str">
        <f>Data!A295</f>
        <v>Demo - 42</v>
      </c>
      <c r="B296" s="12" t="str">
        <f>Data!B295</f>
        <v>Vehicle, Company Group</v>
      </c>
      <c r="C296" s="12" t="str">
        <f>Data!D295</f>
        <v>b2A</v>
      </c>
      <c r="D296" s="13">
        <f>Data!E295</f>
        <v>46069.344542824176</v>
      </c>
      <c r="E296" s="56">
        <f t="shared" si="16"/>
        <v>0</v>
      </c>
      <c r="F296" s="12" t="str">
        <f>Data!F295</f>
        <v>Telematics device fault: Check device installation as the accelerometer was disabled due to excessive data</v>
      </c>
      <c r="G296" s="14" t="str">
        <f>Data!A295&amp;" "&amp;Data!F295</f>
        <v>Demo - 42 Telematics device fault: Check device installation as the accelerometer was disabled due to excessive data</v>
      </c>
      <c r="H296" s="56">
        <f>IF(COUNTIF($G$10:G296,G296)&gt;1,0,1)</f>
        <v>0</v>
      </c>
      <c r="I296" s="12" t="str">
        <f>IF(L296=FALSE,Data!J295," ")</f>
        <v xml:space="preserve"> </v>
      </c>
      <c r="J296" s="15" t="b">
        <f t="shared" si="17"/>
        <v>0</v>
      </c>
      <c r="K296" s="12" t="str">
        <f>Data!H295</f>
        <v>Telematics Device</v>
      </c>
      <c r="L296" s="15" t="b">
        <f t="shared" si="18"/>
        <v>1</v>
      </c>
      <c r="M296" s="14" t="str">
        <f>Data!I295</f>
        <v>Telematics device</v>
      </c>
      <c r="N296" s="15" t="str">
        <f>Data!G295</f>
        <v>265</v>
      </c>
      <c r="O296" s="15" t="b">
        <f t="shared" si="19"/>
        <v>1</v>
      </c>
      <c r="P296" s="12" t="str">
        <f>IF(Data!K295=FALSE(),"", Data!K295)</f>
        <v/>
      </c>
      <c r="Q296" s="12" t="str">
        <f>IF(Data!L295=FALSE(),"", Data!L295)</f>
        <v/>
      </c>
      <c r="R296" s="12" t="str">
        <f>IF(Data!M295=FALSE(),"", Data!M295)</f>
        <v/>
      </c>
      <c r="S296" s="12" t="str">
        <f>IF(Data!N295=FALSE(),"", Data!N295)</f>
        <v/>
      </c>
    </row>
    <row r="297" spans="1:19" ht="16.5">
      <c r="A297" s="12" t="str">
        <f>Data!A296</f>
        <v>Demo - 42</v>
      </c>
      <c r="B297" s="12" t="str">
        <f>Data!B296</f>
        <v>Vehicle, Company Group</v>
      </c>
      <c r="C297" s="12" t="str">
        <f>Data!D296</f>
        <v>b2A</v>
      </c>
      <c r="D297" s="13">
        <f>Data!E296</f>
        <v>46069.377899305655</v>
      </c>
      <c r="E297" s="56">
        <f t="shared" si="16"/>
        <v>0</v>
      </c>
      <c r="F297" s="12" t="str">
        <f>Data!F296</f>
        <v>Telematics device fault: Check device installation as the accelerometer was disabled due to excessive data</v>
      </c>
      <c r="G297" s="14" t="str">
        <f>Data!A296&amp;" "&amp;Data!F296</f>
        <v>Demo - 42 Telematics device fault: Check device installation as the accelerometer was disabled due to excessive data</v>
      </c>
      <c r="H297" s="56">
        <f>IF(COUNTIF($G$10:G297,G297)&gt;1,0,1)</f>
        <v>0</v>
      </c>
      <c r="I297" s="12" t="str">
        <f>IF(L297=FALSE,Data!J296," ")</f>
        <v xml:space="preserve"> </v>
      </c>
      <c r="J297" s="15" t="b">
        <f t="shared" si="17"/>
        <v>0</v>
      </c>
      <c r="K297" s="12" t="str">
        <f>Data!H296</f>
        <v>Telematics Device</v>
      </c>
      <c r="L297" s="15" t="b">
        <f t="shared" si="18"/>
        <v>1</v>
      </c>
      <c r="M297" s="14" t="str">
        <f>Data!I296</f>
        <v>Telematics device</v>
      </c>
      <c r="N297" s="15" t="str">
        <f>Data!G296</f>
        <v>265</v>
      </c>
      <c r="O297" s="15" t="b">
        <f t="shared" si="19"/>
        <v>1</v>
      </c>
      <c r="P297" s="12" t="str">
        <f>IF(Data!K296=FALSE(),"", Data!K296)</f>
        <v/>
      </c>
      <c r="Q297" s="12" t="str">
        <f>IF(Data!L296=FALSE(),"", Data!L296)</f>
        <v/>
      </c>
      <c r="R297" s="12" t="str">
        <f>IF(Data!M296=FALSE(),"", Data!M296)</f>
        <v/>
      </c>
      <c r="S297" s="12" t="str">
        <f>IF(Data!N296=FALSE(),"", Data!N296)</f>
        <v/>
      </c>
    </row>
    <row r="298" spans="1:19" ht="16.5">
      <c r="A298" s="12" t="str">
        <f>Data!A297</f>
        <v>Demo - 42</v>
      </c>
      <c r="B298" s="12" t="str">
        <f>Data!B297</f>
        <v>Vehicle, Company Group</v>
      </c>
      <c r="C298" s="12" t="str">
        <f>Data!D297</f>
        <v>b2A</v>
      </c>
      <c r="D298" s="13">
        <f>Data!E297</f>
        <v>46069.401973379732</v>
      </c>
      <c r="E298" s="56">
        <f t="shared" si="16"/>
        <v>0</v>
      </c>
      <c r="F298" s="12" t="str">
        <f>Data!F297</f>
        <v>Telematics device fault: Check device installation as the accelerometer was disabled due to excessive data</v>
      </c>
      <c r="G298" s="14" t="str">
        <f>Data!A297&amp;" "&amp;Data!F297</f>
        <v>Demo - 42 Telematics device fault: Check device installation as the accelerometer was disabled due to excessive data</v>
      </c>
      <c r="H298" s="56">
        <f>IF(COUNTIF($G$10:G298,G298)&gt;1,0,1)</f>
        <v>0</v>
      </c>
      <c r="I298" s="12" t="str">
        <f>IF(L298=FALSE,Data!J297," ")</f>
        <v xml:space="preserve"> </v>
      </c>
      <c r="J298" s="15" t="b">
        <f t="shared" si="17"/>
        <v>0</v>
      </c>
      <c r="K298" s="12" t="str">
        <f>Data!H297</f>
        <v>Telematics Device</v>
      </c>
      <c r="L298" s="15" t="b">
        <f t="shared" si="18"/>
        <v>1</v>
      </c>
      <c r="M298" s="14" t="str">
        <f>Data!I297</f>
        <v>Telematics device</v>
      </c>
      <c r="N298" s="15" t="str">
        <f>Data!G297</f>
        <v>265</v>
      </c>
      <c r="O298" s="15" t="b">
        <f t="shared" si="19"/>
        <v>1</v>
      </c>
      <c r="P298" s="12" t="str">
        <f>IF(Data!K297=FALSE(),"", Data!K297)</f>
        <v/>
      </c>
      <c r="Q298" s="12" t="str">
        <f>IF(Data!L297=FALSE(),"", Data!L297)</f>
        <v/>
      </c>
      <c r="R298" s="12" t="str">
        <f>IF(Data!M297=FALSE(),"", Data!M297)</f>
        <v/>
      </c>
      <c r="S298" s="12" t="str">
        <f>IF(Data!N297=FALSE(),"", Data!N297)</f>
        <v/>
      </c>
    </row>
    <row r="299" spans="1:19" ht="16.5">
      <c r="A299" s="12" t="str">
        <f>Data!A298</f>
        <v>Demo - 42</v>
      </c>
      <c r="B299" s="12" t="str">
        <f>Data!B298</f>
        <v>Vehicle, Company Group</v>
      </c>
      <c r="C299" s="12" t="str">
        <f>Data!D298</f>
        <v>b2A</v>
      </c>
      <c r="D299" s="13">
        <f>Data!E298</f>
        <v>46069.408269676031</v>
      </c>
      <c r="E299" s="56">
        <f t="shared" si="16"/>
        <v>0</v>
      </c>
      <c r="F299" s="12" t="str">
        <f>Data!F298</f>
        <v>Telematics device fault: Check device installation as the accelerometer was disabled due to excessive data</v>
      </c>
      <c r="G299" s="14" t="str">
        <f>Data!A298&amp;" "&amp;Data!F298</f>
        <v>Demo - 42 Telematics device fault: Check device installation as the accelerometer was disabled due to excessive data</v>
      </c>
      <c r="H299" s="56">
        <f>IF(COUNTIF($G$10:G299,G299)&gt;1,0,1)</f>
        <v>0</v>
      </c>
      <c r="I299" s="12" t="str">
        <f>IF(L299=FALSE,Data!J298," ")</f>
        <v xml:space="preserve"> </v>
      </c>
      <c r="J299" s="15" t="b">
        <f t="shared" si="17"/>
        <v>0</v>
      </c>
      <c r="K299" s="12" t="str">
        <f>Data!H298</f>
        <v>Telematics Device</v>
      </c>
      <c r="L299" s="15" t="b">
        <f t="shared" si="18"/>
        <v>1</v>
      </c>
      <c r="M299" s="14" t="str">
        <f>Data!I298</f>
        <v>Telematics device</v>
      </c>
      <c r="N299" s="15" t="str">
        <f>Data!G298</f>
        <v>265</v>
      </c>
      <c r="O299" s="15" t="b">
        <f t="shared" si="19"/>
        <v>1</v>
      </c>
      <c r="P299" s="12" t="str">
        <f>IF(Data!K298=FALSE(),"", Data!K298)</f>
        <v/>
      </c>
      <c r="Q299" s="12" t="str">
        <f>IF(Data!L298=FALSE(),"", Data!L298)</f>
        <v/>
      </c>
      <c r="R299" s="12" t="str">
        <f>IF(Data!M298=FALSE(),"", Data!M298)</f>
        <v/>
      </c>
      <c r="S299" s="12" t="str">
        <f>IF(Data!N298=FALSE(),"", Data!N298)</f>
        <v/>
      </c>
    </row>
    <row r="300" spans="1:19" ht="16.5">
      <c r="A300" s="12" t="str">
        <f>Data!A299</f>
        <v>Demo - 42</v>
      </c>
      <c r="B300" s="12" t="str">
        <f>Data!B299</f>
        <v>Vehicle, Company Group</v>
      </c>
      <c r="C300" s="12" t="str">
        <f>Data!D299</f>
        <v>b2A</v>
      </c>
      <c r="D300" s="13">
        <f>Data!E299</f>
        <v>46069.432471064916</v>
      </c>
      <c r="E300" s="56">
        <f t="shared" si="16"/>
        <v>0</v>
      </c>
      <c r="F300" s="12" t="str">
        <f>Data!F299</f>
        <v>Telematics device fault: Check device installation as the accelerometer was disabled due to excessive data</v>
      </c>
      <c r="G300" s="14" t="str">
        <f>Data!A299&amp;" "&amp;Data!F299</f>
        <v>Demo - 42 Telematics device fault: Check device installation as the accelerometer was disabled due to excessive data</v>
      </c>
      <c r="H300" s="56">
        <f>IF(COUNTIF($G$10:G300,G300)&gt;1,0,1)</f>
        <v>0</v>
      </c>
      <c r="I300" s="12" t="str">
        <f>IF(L300=FALSE,Data!J299," ")</f>
        <v xml:space="preserve"> </v>
      </c>
      <c r="J300" s="15" t="b">
        <f t="shared" si="17"/>
        <v>0</v>
      </c>
      <c r="K300" s="12" t="str">
        <f>Data!H299</f>
        <v>Telematics Device</v>
      </c>
      <c r="L300" s="15" t="b">
        <f t="shared" si="18"/>
        <v>1</v>
      </c>
      <c r="M300" s="14" t="str">
        <f>Data!I299</f>
        <v>Telematics device</v>
      </c>
      <c r="N300" s="15" t="str">
        <f>Data!G299</f>
        <v>265</v>
      </c>
      <c r="O300" s="15" t="b">
        <f t="shared" si="19"/>
        <v>1</v>
      </c>
      <c r="P300" s="12" t="str">
        <f>IF(Data!K299=FALSE(),"", Data!K299)</f>
        <v/>
      </c>
      <c r="Q300" s="12" t="str">
        <f>IF(Data!L299=FALSE(),"", Data!L299)</f>
        <v/>
      </c>
      <c r="R300" s="12" t="str">
        <f>IF(Data!M299=FALSE(),"", Data!M299)</f>
        <v/>
      </c>
      <c r="S300" s="12" t="str">
        <f>IF(Data!N299=FALSE(),"", Data!N299)</f>
        <v/>
      </c>
    </row>
    <row r="301" spans="1:19" ht="16.5">
      <c r="A301" s="12" t="str">
        <f>Data!A300</f>
        <v>Demo - 42</v>
      </c>
      <c r="B301" s="12" t="str">
        <f>Data!B300</f>
        <v>Vehicle, Company Group</v>
      </c>
      <c r="C301" s="12" t="str">
        <f>Data!D300</f>
        <v>b2A</v>
      </c>
      <c r="D301" s="13">
        <f>Data!E300</f>
        <v>46070.364091435287</v>
      </c>
      <c r="E301" s="56">
        <f t="shared" si="16"/>
        <v>0</v>
      </c>
      <c r="F301" s="12" t="str">
        <f>Data!F300</f>
        <v>Telematics device fault: Check device installation as the accelerometer was disabled due to excessive data</v>
      </c>
      <c r="G301" s="14" t="str">
        <f>Data!A300&amp;" "&amp;Data!F300</f>
        <v>Demo - 42 Telematics device fault: Check device installation as the accelerometer was disabled due to excessive data</v>
      </c>
      <c r="H301" s="56">
        <f>IF(COUNTIF($G$10:G301,G301)&gt;1,0,1)</f>
        <v>0</v>
      </c>
      <c r="I301" s="12" t="str">
        <f>IF(L301=FALSE,Data!J300," ")</f>
        <v xml:space="preserve"> </v>
      </c>
      <c r="J301" s="15" t="b">
        <f t="shared" si="17"/>
        <v>0</v>
      </c>
      <c r="K301" s="12" t="str">
        <f>Data!H300</f>
        <v>Telematics Device</v>
      </c>
      <c r="L301" s="15" t="b">
        <f t="shared" si="18"/>
        <v>1</v>
      </c>
      <c r="M301" s="14" t="str">
        <f>Data!I300</f>
        <v>Telematics device</v>
      </c>
      <c r="N301" s="15" t="str">
        <f>Data!G300</f>
        <v>265</v>
      </c>
      <c r="O301" s="15" t="b">
        <f t="shared" si="19"/>
        <v>1</v>
      </c>
      <c r="P301" s="12" t="str">
        <f>IF(Data!K300=FALSE(),"", Data!K300)</f>
        <v/>
      </c>
      <c r="Q301" s="12" t="str">
        <f>IF(Data!L300=FALSE(),"", Data!L300)</f>
        <v/>
      </c>
      <c r="R301" s="12" t="str">
        <f>IF(Data!M300=FALSE(),"", Data!M300)</f>
        <v/>
      </c>
      <c r="S301" s="12" t="str">
        <f>IF(Data!N300=FALSE(),"", Data!N300)</f>
        <v/>
      </c>
    </row>
    <row r="302" spans="1:19" ht="16.5">
      <c r="A302" s="12" t="str">
        <f>Data!A301</f>
        <v>Demo - 42</v>
      </c>
      <c r="B302" s="12" t="str">
        <f>Data!B301</f>
        <v>Vehicle, Company Group</v>
      </c>
      <c r="C302" s="12" t="str">
        <f>Data!D301</f>
        <v>b2A</v>
      </c>
      <c r="D302" s="13">
        <f>Data!E301</f>
        <v>46070.411822916765</v>
      </c>
      <c r="E302" s="56">
        <f t="shared" si="16"/>
        <v>0</v>
      </c>
      <c r="F302" s="12" t="str">
        <f>Data!F301</f>
        <v>Telematics device fault: Check device installation as the accelerometer was disabled due to excessive data</v>
      </c>
      <c r="G302" s="14" t="str">
        <f>Data!A301&amp;" "&amp;Data!F301</f>
        <v>Demo - 42 Telematics device fault: Check device installation as the accelerometer was disabled due to excessive data</v>
      </c>
      <c r="H302" s="56">
        <f>IF(COUNTIF($G$10:G302,G302)&gt;1,0,1)</f>
        <v>0</v>
      </c>
      <c r="I302" s="12" t="str">
        <f>IF(L302=FALSE,Data!J301," ")</f>
        <v xml:space="preserve"> </v>
      </c>
      <c r="J302" s="15" t="b">
        <f t="shared" si="17"/>
        <v>0</v>
      </c>
      <c r="K302" s="12" t="str">
        <f>Data!H301</f>
        <v>Telematics Device</v>
      </c>
      <c r="L302" s="15" t="b">
        <f t="shared" si="18"/>
        <v>1</v>
      </c>
      <c r="M302" s="14" t="str">
        <f>Data!I301</f>
        <v>Telematics device</v>
      </c>
      <c r="N302" s="15" t="str">
        <f>Data!G301</f>
        <v>265</v>
      </c>
      <c r="O302" s="15" t="b">
        <f t="shared" si="19"/>
        <v>1</v>
      </c>
      <c r="P302" s="12" t="str">
        <f>IF(Data!K301=FALSE(),"", Data!K301)</f>
        <v/>
      </c>
      <c r="Q302" s="12" t="str">
        <f>IF(Data!L301=FALSE(),"", Data!L301)</f>
        <v/>
      </c>
      <c r="R302" s="12" t="str">
        <f>IF(Data!M301=FALSE(),"", Data!M301)</f>
        <v/>
      </c>
      <c r="S302" s="12" t="str">
        <f>IF(Data!N301=FALSE(),"", Data!N301)</f>
        <v/>
      </c>
    </row>
    <row r="303" spans="1:19" ht="16.5">
      <c r="A303" s="12" t="str">
        <f>Data!A302</f>
        <v>Demo - 42</v>
      </c>
      <c r="B303" s="12" t="str">
        <f>Data!B302</f>
        <v>Vehicle, Company Group</v>
      </c>
      <c r="C303" s="12" t="str">
        <f>Data!D302</f>
        <v>b2A</v>
      </c>
      <c r="D303" s="13">
        <f>Data!E302</f>
        <v>46073.192112268618</v>
      </c>
      <c r="E303" s="56">
        <f t="shared" si="16"/>
        <v>0</v>
      </c>
      <c r="F303" s="12" t="str">
        <f>Data!F302</f>
        <v>Telematics device fault: Check device installation as the accelerometer was disabled due to excessive data</v>
      </c>
      <c r="G303" s="14" t="str">
        <f>Data!A302&amp;" "&amp;Data!F302</f>
        <v>Demo - 42 Telematics device fault: Check device installation as the accelerometer was disabled due to excessive data</v>
      </c>
      <c r="H303" s="56">
        <f>IF(COUNTIF($G$10:G303,G303)&gt;1,0,1)</f>
        <v>0</v>
      </c>
      <c r="I303" s="12" t="str">
        <f>IF(L303=FALSE,Data!J302," ")</f>
        <v xml:space="preserve"> </v>
      </c>
      <c r="J303" s="15" t="b">
        <f t="shared" si="17"/>
        <v>0</v>
      </c>
      <c r="K303" s="12" t="str">
        <f>Data!H302</f>
        <v>Telematics Device</v>
      </c>
      <c r="L303" s="15" t="b">
        <f t="shared" si="18"/>
        <v>1</v>
      </c>
      <c r="M303" s="14" t="str">
        <f>Data!I302</f>
        <v>Telematics device</v>
      </c>
      <c r="N303" s="15" t="str">
        <f>Data!G302</f>
        <v>265</v>
      </c>
      <c r="O303" s="15" t="b">
        <f t="shared" si="19"/>
        <v>1</v>
      </c>
      <c r="P303" s="12" t="str">
        <f>IF(Data!K302=FALSE(),"", Data!K302)</f>
        <v/>
      </c>
      <c r="Q303" s="12" t="str">
        <f>IF(Data!L302=FALSE(),"", Data!L302)</f>
        <v/>
      </c>
      <c r="R303" s="12" t="str">
        <f>IF(Data!M302=FALSE(),"", Data!M302)</f>
        <v/>
      </c>
      <c r="S303" s="12" t="str">
        <f>IF(Data!N302=FALSE(),"", Data!N302)</f>
        <v/>
      </c>
    </row>
    <row r="304" spans="1:19" ht="16.5">
      <c r="A304" s="12" t="str">
        <f>Data!A303</f>
        <v>Demo - 42</v>
      </c>
      <c r="B304" s="12" t="str">
        <f>Data!B303</f>
        <v>Vehicle, Company Group</v>
      </c>
      <c r="C304" s="12" t="str">
        <f>Data!D303</f>
        <v>b2A</v>
      </c>
      <c r="D304" s="13">
        <f>Data!E303</f>
        <v>46073.234832176029</v>
      </c>
      <c r="E304" s="56">
        <f t="shared" si="16"/>
        <v>0</v>
      </c>
      <c r="F304" s="12" t="str">
        <f>Data!F303</f>
        <v>Telematics device fault: Check device installation as the accelerometer was disabled due to excessive data</v>
      </c>
      <c r="G304" s="14" t="str">
        <f>Data!A303&amp;" "&amp;Data!F303</f>
        <v>Demo - 42 Telematics device fault: Check device installation as the accelerometer was disabled due to excessive data</v>
      </c>
      <c r="H304" s="56">
        <f>IF(COUNTIF($G$10:G304,G304)&gt;1,0,1)</f>
        <v>0</v>
      </c>
      <c r="I304" s="12" t="str">
        <f>IF(L304=FALSE,Data!J303," ")</f>
        <v xml:space="preserve"> </v>
      </c>
      <c r="J304" s="15" t="b">
        <f t="shared" si="17"/>
        <v>0</v>
      </c>
      <c r="K304" s="12" t="str">
        <f>Data!H303</f>
        <v>Telematics Device</v>
      </c>
      <c r="L304" s="15" t="b">
        <f t="shared" si="18"/>
        <v>1</v>
      </c>
      <c r="M304" s="14" t="str">
        <f>Data!I303</f>
        <v>Telematics device</v>
      </c>
      <c r="N304" s="15" t="str">
        <f>Data!G303</f>
        <v>265</v>
      </c>
      <c r="O304" s="15" t="b">
        <f t="shared" si="19"/>
        <v>1</v>
      </c>
      <c r="P304" s="12" t="str">
        <f>IF(Data!K303=FALSE(),"", Data!K303)</f>
        <v/>
      </c>
      <c r="Q304" s="12" t="str">
        <f>IF(Data!L303=FALSE(),"", Data!L303)</f>
        <v/>
      </c>
      <c r="R304" s="12" t="str">
        <f>IF(Data!M303=FALSE(),"", Data!M303)</f>
        <v/>
      </c>
      <c r="S304" s="12" t="str">
        <f>IF(Data!N303=FALSE(),"", Data!N303)</f>
        <v/>
      </c>
    </row>
    <row r="305" spans="1:19" ht="16.5">
      <c r="A305" s="12" t="str">
        <f>Data!A304</f>
        <v>Demo - 42</v>
      </c>
      <c r="B305" s="12" t="str">
        <f>Data!B304</f>
        <v>Vehicle, Company Group</v>
      </c>
      <c r="C305" s="12" t="str">
        <f>Data!D304</f>
        <v>b2A</v>
      </c>
      <c r="D305" s="13">
        <f>Data!E304</f>
        <v>46073.272760416767</v>
      </c>
      <c r="E305" s="56">
        <f t="shared" si="16"/>
        <v>0</v>
      </c>
      <c r="F305" s="12" t="str">
        <f>Data!F304</f>
        <v>Telematics device fault: Check device installation as the accelerometer was disabled due to excessive data</v>
      </c>
      <c r="G305" s="14" t="str">
        <f>Data!A304&amp;" "&amp;Data!F304</f>
        <v>Demo - 42 Telematics device fault: Check device installation as the accelerometer was disabled due to excessive data</v>
      </c>
      <c r="H305" s="56">
        <f>IF(COUNTIF($G$10:G305,G305)&gt;1,0,1)</f>
        <v>0</v>
      </c>
      <c r="I305" s="12" t="str">
        <f>IF(L305=FALSE,Data!J304," ")</f>
        <v xml:space="preserve"> </v>
      </c>
      <c r="J305" s="15" t="b">
        <f t="shared" si="17"/>
        <v>0</v>
      </c>
      <c r="K305" s="12" t="str">
        <f>Data!H304</f>
        <v>Telematics Device</v>
      </c>
      <c r="L305" s="15" t="b">
        <f t="shared" si="18"/>
        <v>1</v>
      </c>
      <c r="M305" s="14" t="str">
        <f>Data!I304</f>
        <v>Telematics device</v>
      </c>
      <c r="N305" s="15" t="str">
        <f>Data!G304</f>
        <v>265</v>
      </c>
      <c r="O305" s="15" t="b">
        <f t="shared" si="19"/>
        <v>1</v>
      </c>
      <c r="P305" s="12" t="str">
        <f>IF(Data!K304=FALSE(),"", Data!K304)</f>
        <v/>
      </c>
      <c r="Q305" s="12" t="str">
        <f>IF(Data!L304=FALSE(),"", Data!L304)</f>
        <v/>
      </c>
      <c r="R305" s="12" t="str">
        <f>IF(Data!M304=FALSE(),"", Data!M304)</f>
        <v/>
      </c>
      <c r="S305" s="12" t="str">
        <f>IF(Data!N304=FALSE(),"", Data!N304)</f>
        <v/>
      </c>
    </row>
    <row r="306" spans="1:19" ht="16.5">
      <c r="A306" s="12" t="str">
        <f>Data!A305</f>
        <v>Demo - 42</v>
      </c>
      <c r="B306" s="12" t="str">
        <f>Data!B305</f>
        <v>Vehicle, Company Group</v>
      </c>
      <c r="C306" s="12" t="str">
        <f>Data!D305</f>
        <v>b2A</v>
      </c>
      <c r="D306" s="13">
        <f>Data!E305</f>
        <v>46073.281417824175</v>
      </c>
      <c r="E306" s="56">
        <f t="shared" si="16"/>
        <v>0</v>
      </c>
      <c r="F306" s="12" t="str">
        <f>Data!F305</f>
        <v>Telematics device fault: Check device installation as the accelerometer was disabled due to excessive data</v>
      </c>
      <c r="G306" s="14" t="str">
        <f>Data!A305&amp;" "&amp;Data!F305</f>
        <v>Demo - 42 Telematics device fault: Check device installation as the accelerometer was disabled due to excessive data</v>
      </c>
      <c r="H306" s="56">
        <f>IF(COUNTIF($G$10:G306,G306)&gt;1,0,1)</f>
        <v>0</v>
      </c>
      <c r="I306" s="12" t="str">
        <f>IF(L306=FALSE,Data!J305," ")</f>
        <v xml:space="preserve"> </v>
      </c>
      <c r="J306" s="15" t="b">
        <f t="shared" si="17"/>
        <v>0</v>
      </c>
      <c r="K306" s="12" t="str">
        <f>Data!H305</f>
        <v>Telematics Device</v>
      </c>
      <c r="L306" s="15" t="b">
        <f t="shared" si="18"/>
        <v>1</v>
      </c>
      <c r="M306" s="14" t="str">
        <f>Data!I305</f>
        <v>Telematics device</v>
      </c>
      <c r="N306" s="15" t="str">
        <f>Data!G305</f>
        <v>265</v>
      </c>
      <c r="O306" s="15" t="b">
        <f t="shared" si="19"/>
        <v>1</v>
      </c>
      <c r="P306" s="12" t="str">
        <f>IF(Data!K305=FALSE(),"", Data!K305)</f>
        <v/>
      </c>
      <c r="Q306" s="12" t="str">
        <f>IF(Data!L305=FALSE(),"", Data!L305)</f>
        <v/>
      </c>
      <c r="R306" s="12" t="str">
        <f>IF(Data!M305=FALSE(),"", Data!M305)</f>
        <v/>
      </c>
      <c r="S306" s="12" t="str">
        <f>IF(Data!N305=FALSE(),"", Data!N305)</f>
        <v/>
      </c>
    </row>
    <row r="307" spans="1:19" ht="16.5">
      <c r="A307" s="12" t="str">
        <f>Data!A306</f>
        <v>Demo - 42</v>
      </c>
      <c r="B307" s="12" t="str">
        <f>Data!B306</f>
        <v>Vehicle, Company Group</v>
      </c>
      <c r="C307" s="12" t="str">
        <f>Data!D306</f>
        <v>b2A</v>
      </c>
      <c r="D307" s="13">
        <f>Data!E306</f>
        <v>46073.296487268621</v>
      </c>
      <c r="E307" s="56">
        <f t="shared" si="16"/>
        <v>0</v>
      </c>
      <c r="F307" s="12" t="str">
        <f>Data!F306</f>
        <v>Telematics device fault: Check device installation as the accelerometer was disabled due to excessive data</v>
      </c>
      <c r="G307" s="14" t="str">
        <f>Data!A306&amp;" "&amp;Data!F306</f>
        <v>Demo - 42 Telematics device fault: Check device installation as the accelerometer was disabled due to excessive data</v>
      </c>
      <c r="H307" s="56">
        <f>IF(COUNTIF($G$10:G307,G307)&gt;1,0,1)</f>
        <v>0</v>
      </c>
      <c r="I307" s="12" t="str">
        <f>IF(L307=FALSE,Data!J306," ")</f>
        <v xml:space="preserve"> </v>
      </c>
      <c r="J307" s="15" t="b">
        <f t="shared" si="17"/>
        <v>0</v>
      </c>
      <c r="K307" s="12" t="str">
        <f>Data!H306</f>
        <v>Telematics Device</v>
      </c>
      <c r="L307" s="15" t="b">
        <f t="shared" si="18"/>
        <v>1</v>
      </c>
      <c r="M307" s="14" t="str">
        <f>Data!I306</f>
        <v>Telematics device</v>
      </c>
      <c r="N307" s="15" t="str">
        <f>Data!G306</f>
        <v>265</v>
      </c>
      <c r="O307" s="15" t="b">
        <f t="shared" si="19"/>
        <v>1</v>
      </c>
      <c r="P307" s="12" t="str">
        <f>IF(Data!K306=FALSE(),"", Data!K306)</f>
        <v/>
      </c>
      <c r="Q307" s="12" t="str">
        <f>IF(Data!L306=FALSE(),"", Data!L306)</f>
        <v/>
      </c>
      <c r="R307" s="12" t="str">
        <f>IF(Data!M306=FALSE(),"", Data!M306)</f>
        <v/>
      </c>
      <c r="S307" s="12" t="str">
        <f>IF(Data!N306=FALSE(),"", Data!N306)</f>
        <v/>
      </c>
    </row>
    <row r="308" spans="1:19" ht="16.5">
      <c r="A308" s="12" t="str">
        <f>Data!A307</f>
        <v>Demo - 42</v>
      </c>
      <c r="B308" s="12" t="str">
        <f>Data!B307</f>
        <v>Vehicle, Company Group</v>
      </c>
      <c r="C308" s="12" t="str">
        <f>Data!D307</f>
        <v>b2A</v>
      </c>
      <c r="D308" s="13">
        <f>Data!E307</f>
        <v>46073.307575231585</v>
      </c>
      <c r="E308" s="56">
        <f t="shared" si="16"/>
        <v>0</v>
      </c>
      <c r="F308" s="12" t="str">
        <f>Data!F307</f>
        <v>Telematics device fault: Check device installation as the accelerometer was disabled due to excessive data</v>
      </c>
      <c r="G308" s="14" t="str">
        <f>Data!A307&amp;" "&amp;Data!F307</f>
        <v>Demo - 42 Telematics device fault: Check device installation as the accelerometer was disabled due to excessive data</v>
      </c>
      <c r="H308" s="56">
        <f>IF(COUNTIF($G$10:G308,G308)&gt;1,0,1)</f>
        <v>0</v>
      </c>
      <c r="I308" s="12" t="str">
        <f>IF(L308=FALSE,Data!J307," ")</f>
        <v xml:space="preserve"> </v>
      </c>
      <c r="J308" s="15" t="b">
        <f t="shared" si="17"/>
        <v>0</v>
      </c>
      <c r="K308" s="12" t="str">
        <f>Data!H307</f>
        <v>Telematics Device</v>
      </c>
      <c r="L308" s="15" t="b">
        <f t="shared" si="18"/>
        <v>1</v>
      </c>
      <c r="M308" s="14" t="str">
        <f>Data!I307</f>
        <v>Telematics device</v>
      </c>
      <c r="N308" s="15" t="str">
        <f>Data!G307</f>
        <v>265</v>
      </c>
      <c r="O308" s="15" t="b">
        <f t="shared" si="19"/>
        <v>1</v>
      </c>
      <c r="P308" s="12" t="str">
        <f>IF(Data!K307=FALSE(),"", Data!K307)</f>
        <v/>
      </c>
      <c r="Q308" s="12" t="str">
        <f>IF(Data!L307=FALSE(),"", Data!L307)</f>
        <v/>
      </c>
      <c r="R308" s="12" t="str">
        <f>IF(Data!M307=FALSE(),"", Data!M307)</f>
        <v/>
      </c>
      <c r="S308" s="12" t="str">
        <f>IF(Data!N307=FALSE(),"", Data!N307)</f>
        <v/>
      </c>
    </row>
    <row r="309" spans="1:19" ht="16.5">
      <c r="A309" s="12" t="str">
        <f>Data!A308</f>
        <v>Demo - 42</v>
      </c>
      <c r="B309" s="12" t="str">
        <f>Data!B308</f>
        <v>Vehicle, Company Group</v>
      </c>
      <c r="C309" s="12" t="str">
        <f>Data!D308</f>
        <v>b2A</v>
      </c>
      <c r="D309" s="13">
        <f>Data!E308</f>
        <v>46073.384658564915</v>
      </c>
      <c r="E309" s="56">
        <f t="shared" si="16"/>
        <v>0</v>
      </c>
      <c r="F309" s="12" t="str">
        <f>Data!F308</f>
        <v>Telematics device fault: Check device installation as the accelerometer was disabled due to excessive data</v>
      </c>
      <c r="G309" s="14" t="str">
        <f>Data!A308&amp;" "&amp;Data!F308</f>
        <v>Demo - 42 Telematics device fault: Check device installation as the accelerometer was disabled due to excessive data</v>
      </c>
      <c r="H309" s="56">
        <f>IF(COUNTIF($G$10:G309,G309)&gt;1,0,1)</f>
        <v>0</v>
      </c>
      <c r="I309" s="12" t="str">
        <f>IF(L309=FALSE,Data!J308," ")</f>
        <v xml:space="preserve"> </v>
      </c>
      <c r="J309" s="15" t="b">
        <f t="shared" si="17"/>
        <v>0</v>
      </c>
      <c r="K309" s="12" t="str">
        <f>Data!H308</f>
        <v>Telematics Device</v>
      </c>
      <c r="L309" s="15" t="b">
        <f t="shared" si="18"/>
        <v>1</v>
      </c>
      <c r="M309" s="14" t="str">
        <f>Data!I308</f>
        <v>Telematics device</v>
      </c>
      <c r="N309" s="15" t="str">
        <f>Data!G308</f>
        <v>265</v>
      </c>
      <c r="O309" s="15" t="b">
        <f t="shared" si="19"/>
        <v>1</v>
      </c>
      <c r="P309" s="12" t="str">
        <f>IF(Data!K308=FALSE(),"", Data!K308)</f>
        <v/>
      </c>
      <c r="Q309" s="12" t="str">
        <f>IF(Data!L308=FALSE(),"", Data!L308)</f>
        <v/>
      </c>
      <c r="R309" s="12" t="str">
        <f>IF(Data!M308=FALSE(),"", Data!M308)</f>
        <v/>
      </c>
      <c r="S309" s="12" t="str">
        <f>IF(Data!N308=FALSE(),"", Data!N308)</f>
        <v/>
      </c>
    </row>
    <row r="310" spans="1:19" ht="16.5">
      <c r="A310" s="12" t="str">
        <f>Data!A309</f>
        <v>Demo - 42</v>
      </c>
      <c r="B310" s="12" t="str">
        <f>Data!B309</f>
        <v>Vehicle, Company Group</v>
      </c>
      <c r="C310" s="12" t="str">
        <f>Data!D309</f>
        <v>b2A</v>
      </c>
      <c r="D310" s="13">
        <f>Data!E309</f>
        <v>46073.401186342693</v>
      </c>
      <c r="E310" s="56">
        <f t="shared" si="16"/>
        <v>0</v>
      </c>
      <c r="F310" s="12" t="str">
        <f>Data!F309</f>
        <v>Telematics device fault: Check device installation as the accelerometer was disabled due to excessive data</v>
      </c>
      <c r="G310" s="14" t="str">
        <f>Data!A309&amp;" "&amp;Data!F309</f>
        <v>Demo - 42 Telematics device fault: Check device installation as the accelerometer was disabled due to excessive data</v>
      </c>
      <c r="H310" s="56">
        <f>IF(COUNTIF($G$10:G310,G310)&gt;1,0,1)</f>
        <v>0</v>
      </c>
      <c r="I310" s="12" t="str">
        <f>IF(L310=FALSE,Data!J309," ")</f>
        <v xml:space="preserve"> </v>
      </c>
      <c r="J310" s="15" t="b">
        <f t="shared" si="17"/>
        <v>0</v>
      </c>
      <c r="K310" s="12" t="str">
        <f>Data!H309</f>
        <v>Telematics Device</v>
      </c>
      <c r="L310" s="15" t="b">
        <f t="shared" si="18"/>
        <v>1</v>
      </c>
      <c r="M310" s="14" t="str">
        <f>Data!I309</f>
        <v>Telematics device</v>
      </c>
      <c r="N310" s="15" t="str">
        <f>Data!G309</f>
        <v>265</v>
      </c>
      <c r="O310" s="15" t="b">
        <f t="shared" si="19"/>
        <v>1</v>
      </c>
      <c r="P310" s="12" t="str">
        <f>IF(Data!K309=FALSE(),"", Data!K309)</f>
        <v/>
      </c>
      <c r="Q310" s="12" t="str">
        <f>IF(Data!L309=FALSE(),"", Data!L309)</f>
        <v/>
      </c>
      <c r="R310" s="12" t="str">
        <f>IF(Data!M309=FALSE(),"", Data!M309)</f>
        <v/>
      </c>
      <c r="S310" s="12" t="str">
        <f>IF(Data!N309=FALSE(),"", Data!N309)</f>
        <v/>
      </c>
    </row>
    <row r="311" spans="1:19" ht="16.5">
      <c r="A311" s="12" t="str">
        <f>Data!A310</f>
        <v>Demo - 43</v>
      </c>
      <c r="B311" s="12" t="str">
        <f>Data!B310</f>
        <v>Vehicle, Company Group</v>
      </c>
      <c r="C311" s="12" t="str">
        <f>Data!D310</f>
        <v>b2B</v>
      </c>
      <c r="D311" s="13">
        <f>Data!E310</f>
        <v>46069.546550925923</v>
      </c>
      <c r="E311" s="56">
        <f t="shared" si="16"/>
        <v>0</v>
      </c>
      <c r="F311" s="12" t="str">
        <f>Data!F310</f>
        <v>Low priority warning light is on</v>
      </c>
      <c r="G311" s="14" t="str">
        <f>Data!A310&amp;" "&amp;Data!F310</f>
        <v>Demo - 43 Low priority warning light is on</v>
      </c>
      <c r="H311" s="56">
        <f>IF(COUNTIF($G$10:G311,G311)&gt;1,0,1)</f>
        <v>1</v>
      </c>
      <c r="I311" s="12" t="str">
        <f>IF(L311=FALSE,Data!J310," ")</f>
        <v xml:space="preserve"> </v>
      </c>
      <c r="J311" s="15" t="b">
        <f t="shared" si="17"/>
        <v>0</v>
      </c>
      <c r="K311" s="12" t="str">
        <f>Data!H310</f>
        <v>Telematics Device</v>
      </c>
      <c r="L311" s="15" t="b">
        <f t="shared" si="18"/>
        <v>1</v>
      </c>
      <c r="M311" s="14" t="str">
        <f>Data!I310</f>
        <v>Telematics device</v>
      </c>
      <c r="N311" s="15" t="str">
        <f>Data!G310</f>
        <v>175</v>
      </c>
      <c r="O311" s="15" t="b">
        <f t="shared" si="19"/>
        <v>1</v>
      </c>
      <c r="P311" s="12" t="str">
        <f>IF(Data!K310=FALSE(),"", Data!K310)</f>
        <v/>
      </c>
      <c r="Q311" s="12" t="str">
        <f>IF(Data!L310=FALSE(),"", Data!L310)</f>
        <v/>
      </c>
      <c r="R311" s="12" t="str">
        <f>IF(Data!M310=FALSE(),"", Data!M310)</f>
        <v/>
      </c>
      <c r="S311" s="12" t="str">
        <f>IF(Data!N310=FALSE(),"", Data!N310)</f>
        <v/>
      </c>
    </row>
    <row r="312" spans="1:19" ht="16.5">
      <c r="A312" s="12"/>
      <c r="B312" s="12"/>
      <c r="C312" s="12"/>
      <c r="D312" s="13"/>
      <c r="E312" s="13"/>
      <c r="F312" s="12"/>
      <c r="G312" s="14"/>
      <c r="H312" s="56"/>
      <c r="I312" s="12"/>
      <c r="J312" s="15"/>
      <c r="K312" s="12"/>
      <c r="L312" s="15"/>
      <c r="M312" s="14"/>
      <c r="N312" s="15"/>
      <c r="O312" s="15"/>
      <c r="P312" s="15"/>
    </row>
    <row r="313" spans="1:19" ht="16.5">
      <c r="A313" s="12"/>
      <c r="B313" s="12"/>
      <c r="C313" s="12"/>
      <c r="D313" s="13"/>
      <c r="E313" s="13"/>
      <c r="F313" s="12"/>
      <c r="G313" s="14"/>
      <c r="H313" s="56"/>
      <c r="I313" s="12"/>
      <c r="J313" s="15"/>
      <c r="K313" s="12"/>
      <c r="L313" s="15"/>
      <c r="M313" s="14"/>
      <c r="N313" s="15"/>
      <c r="O313" s="15"/>
      <c r="P313" s="15"/>
    </row>
    <row r="314" spans="1:19" ht="16.5">
      <c r="A314" s="12"/>
      <c r="B314" s="12"/>
      <c r="C314" s="12"/>
      <c r="D314" s="13"/>
      <c r="E314" s="13"/>
      <c r="F314" s="12"/>
      <c r="G314" s="14"/>
      <c r="H314" s="56"/>
      <c r="I314" s="12"/>
      <c r="J314" s="15"/>
      <c r="K314" s="12"/>
      <c r="L314" s="15"/>
      <c r="M314" s="14"/>
      <c r="N314" s="15"/>
      <c r="O314" s="15"/>
      <c r="P314" s="15"/>
    </row>
    <row r="315" spans="1:19" ht="16.5">
      <c r="A315" s="12"/>
      <c r="B315" s="12"/>
      <c r="C315" s="12"/>
      <c r="D315" s="13"/>
      <c r="E315" s="13"/>
      <c r="F315" s="12"/>
      <c r="G315" s="14"/>
      <c r="H315" s="56"/>
      <c r="I315" s="12"/>
      <c r="J315" s="15"/>
      <c r="K315" s="12"/>
      <c r="L315" s="15"/>
      <c r="M315" s="14"/>
      <c r="N315" s="15"/>
      <c r="O315" s="15"/>
      <c r="P315" s="15"/>
    </row>
    <row r="316" spans="1:19" ht="16.5">
      <c r="A316" s="12"/>
      <c r="B316" s="12"/>
      <c r="C316" s="12"/>
      <c r="D316" s="13"/>
      <c r="E316" s="13"/>
      <c r="F316" s="12"/>
      <c r="G316" s="14"/>
      <c r="H316" s="56"/>
      <c r="I316" s="12"/>
      <c r="J316" s="15"/>
      <c r="K316" s="12"/>
      <c r="L316" s="15"/>
      <c r="M316" s="14"/>
      <c r="N316" s="15"/>
      <c r="O316" s="15"/>
      <c r="P316" s="15"/>
    </row>
    <row r="317" spans="1:19" ht="16.5">
      <c r="A317" s="12"/>
      <c r="B317" s="12"/>
      <c r="C317" s="12"/>
      <c r="D317" s="13"/>
      <c r="E317" s="13"/>
      <c r="F317" s="12"/>
      <c r="G317" s="14"/>
      <c r="H317" s="56"/>
      <c r="I317" s="12"/>
      <c r="J317" s="15"/>
      <c r="K317" s="12"/>
      <c r="L317" s="15"/>
      <c r="M317" s="14"/>
      <c r="N317" s="15"/>
      <c r="O317" s="15"/>
      <c r="P317" s="15"/>
    </row>
    <row r="318" spans="1:19" ht="16.5">
      <c r="A318" s="12"/>
      <c r="B318" s="12"/>
      <c r="C318" s="12"/>
      <c r="D318" s="13"/>
      <c r="E318" s="13"/>
      <c r="F318" s="12"/>
      <c r="G318" s="14"/>
      <c r="H318" s="56"/>
      <c r="I318" s="12"/>
      <c r="J318" s="15"/>
      <c r="K318" s="12"/>
      <c r="L318" s="15"/>
      <c r="M318" s="14"/>
      <c r="N318" s="15"/>
      <c r="O318" s="15"/>
      <c r="P318" s="15"/>
    </row>
    <row r="319" spans="1:19" ht="16.5">
      <c r="A319" s="12"/>
      <c r="B319" s="12"/>
      <c r="C319" s="12"/>
      <c r="D319" s="13"/>
      <c r="E319" s="13"/>
      <c r="F319" s="12"/>
      <c r="G319" s="14"/>
      <c r="H319" s="56"/>
      <c r="I319" s="12"/>
      <c r="J319" s="15"/>
      <c r="K319" s="12"/>
      <c r="L319" s="15"/>
      <c r="M319" s="14"/>
      <c r="N319" s="15"/>
      <c r="O319" s="15"/>
      <c r="P319" s="15"/>
    </row>
    <row r="320" spans="1:19" ht="16.5">
      <c r="A320" s="12"/>
      <c r="B320" s="12"/>
      <c r="C320" s="12"/>
      <c r="D320" s="13"/>
      <c r="E320" s="13"/>
      <c r="F320" s="12"/>
      <c r="G320" s="14"/>
      <c r="H320" s="56"/>
      <c r="I320" s="12"/>
      <c r="J320" s="15"/>
      <c r="K320" s="12"/>
      <c r="L320" s="15"/>
      <c r="M320" s="14"/>
      <c r="N320" s="15"/>
      <c r="O320" s="15"/>
      <c r="P320" s="15"/>
    </row>
    <row r="321" spans="1:16" ht="16.5">
      <c r="A321" s="12"/>
      <c r="B321" s="12"/>
      <c r="C321" s="12"/>
      <c r="D321" s="13"/>
      <c r="E321" s="13"/>
      <c r="F321" s="12"/>
      <c r="G321" s="14"/>
      <c r="H321" s="56"/>
      <c r="I321" s="12"/>
      <c r="J321" s="15"/>
      <c r="K321" s="12"/>
      <c r="L321" s="15"/>
      <c r="M321" s="14"/>
      <c r="N321" s="15"/>
      <c r="O321" s="15"/>
      <c r="P321" s="15"/>
    </row>
    <row r="322" spans="1:16" ht="16.5">
      <c r="A322" s="12"/>
      <c r="B322" s="12"/>
      <c r="C322" s="12"/>
      <c r="D322" s="13"/>
      <c r="E322" s="13"/>
      <c r="F322" s="12"/>
      <c r="G322" s="14"/>
      <c r="H322" s="56"/>
      <c r="I322" s="12"/>
      <c r="J322" s="15"/>
      <c r="K322" s="12"/>
      <c r="L322" s="15"/>
      <c r="M322" s="14"/>
      <c r="N322" s="15"/>
      <c r="O322" s="15"/>
      <c r="P322" s="15"/>
    </row>
    <row r="323" spans="1:16" ht="16.5">
      <c r="A323" s="12"/>
      <c r="B323" s="12"/>
      <c r="C323" s="12"/>
      <c r="D323" s="13"/>
      <c r="E323" s="13"/>
      <c r="F323" s="12"/>
      <c r="G323" s="14"/>
      <c r="H323" s="56"/>
      <c r="I323" s="12"/>
      <c r="J323" s="15"/>
      <c r="K323" s="12"/>
      <c r="L323" s="15"/>
      <c r="M323" s="14"/>
      <c r="N323" s="15"/>
      <c r="O323" s="15"/>
      <c r="P323" s="15"/>
    </row>
    <row r="324" spans="1:16" ht="16.5">
      <c r="A324" s="12"/>
      <c r="B324" s="12"/>
      <c r="C324" s="12"/>
      <c r="D324" s="13"/>
      <c r="E324" s="13"/>
      <c r="F324" s="12"/>
      <c r="G324" s="14"/>
      <c r="H324" s="56"/>
      <c r="I324" s="12"/>
      <c r="J324" s="15"/>
      <c r="K324" s="12"/>
      <c r="L324" s="15"/>
      <c r="M324" s="14"/>
      <c r="N324" s="15"/>
      <c r="O324" s="15"/>
      <c r="P324" s="15"/>
    </row>
    <row r="325" spans="1:16" ht="16.5">
      <c r="A325" s="12"/>
      <c r="B325" s="12"/>
      <c r="C325" s="12"/>
      <c r="D325" s="13"/>
      <c r="E325" s="13"/>
      <c r="F325" s="12"/>
      <c r="G325" s="14"/>
      <c r="H325" s="56"/>
      <c r="I325" s="12"/>
      <c r="J325" s="15"/>
      <c r="K325" s="12"/>
      <c r="L325" s="15"/>
      <c r="M325" s="14"/>
      <c r="N325" s="15"/>
      <c r="O325" s="15"/>
      <c r="P325" s="15"/>
    </row>
    <row r="326" spans="1:16" ht="16.5">
      <c r="A326" s="12"/>
      <c r="B326" s="12"/>
      <c r="C326" s="12"/>
      <c r="D326" s="13"/>
      <c r="E326" s="13"/>
      <c r="F326" s="12"/>
      <c r="G326" s="14"/>
      <c r="H326" s="56"/>
      <c r="I326" s="12"/>
      <c r="J326" s="15"/>
      <c r="K326" s="12"/>
      <c r="L326" s="15"/>
      <c r="M326" s="14"/>
      <c r="N326" s="15"/>
      <c r="O326" s="15"/>
      <c r="P326" s="15"/>
    </row>
    <row r="327" spans="1:16" ht="16.5">
      <c r="A327" s="12"/>
      <c r="B327" s="12"/>
      <c r="C327" s="12"/>
      <c r="D327" s="13"/>
      <c r="E327" s="13"/>
      <c r="F327" s="12"/>
      <c r="G327" s="14"/>
      <c r="H327" s="56"/>
      <c r="I327" s="12"/>
      <c r="J327" s="15"/>
      <c r="K327" s="12"/>
      <c r="L327" s="15"/>
      <c r="M327" s="14"/>
      <c r="N327" s="15"/>
      <c r="O327" s="15"/>
      <c r="P327" s="15"/>
    </row>
    <row r="328" spans="1:16" ht="16.5">
      <c r="A328" s="12"/>
      <c r="B328" s="12"/>
      <c r="C328" s="12"/>
      <c r="D328" s="13"/>
      <c r="E328" s="13"/>
      <c r="F328" s="12"/>
      <c r="G328" s="14"/>
      <c r="H328" s="56"/>
      <c r="I328" s="12"/>
      <c r="J328" s="15"/>
      <c r="K328" s="12"/>
      <c r="L328" s="15"/>
      <c r="M328" s="14"/>
      <c r="N328" s="15"/>
      <c r="O328" s="15"/>
      <c r="P328" s="15"/>
    </row>
    <row r="329" spans="1:16" ht="16.5">
      <c r="A329" s="12"/>
      <c r="B329" s="12"/>
      <c r="C329" s="12"/>
      <c r="D329" s="13"/>
      <c r="E329" s="13"/>
      <c r="F329" s="12"/>
      <c r="G329" s="14"/>
      <c r="H329" s="56"/>
      <c r="I329" s="12"/>
      <c r="J329" s="15"/>
      <c r="K329" s="12"/>
      <c r="L329" s="15"/>
      <c r="M329" s="14"/>
      <c r="N329" s="15"/>
      <c r="O329" s="15"/>
      <c r="P329" s="15"/>
    </row>
    <row r="330" spans="1:16" ht="16.5">
      <c r="A330" s="12"/>
      <c r="B330" s="12"/>
      <c r="C330" s="12"/>
      <c r="D330" s="13"/>
      <c r="E330" s="13"/>
      <c r="F330" s="12"/>
      <c r="G330" s="14"/>
      <c r="H330" s="56"/>
      <c r="I330" s="12"/>
      <c r="J330" s="15"/>
      <c r="K330" s="12"/>
      <c r="L330" s="15"/>
      <c r="M330" s="14"/>
      <c r="N330" s="15"/>
      <c r="O330" s="15"/>
      <c r="P330" s="15"/>
    </row>
    <row r="331" spans="1:16" ht="16.5">
      <c r="A331" s="12"/>
      <c r="B331" s="12"/>
      <c r="C331" s="12"/>
      <c r="D331" s="13"/>
      <c r="E331" s="13"/>
      <c r="F331" s="12"/>
      <c r="G331" s="14"/>
      <c r="H331" s="56"/>
      <c r="I331" s="12"/>
      <c r="J331" s="15"/>
      <c r="K331" s="12"/>
      <c r="L331" s="15"/>
      <c r="M331" s="14"/>
      <c r="N331" s="15"/>
      <c r="O331" s="15"/>
      <c r="P331" s="15"/>
    </row>
    <row r="332" spans="1:16" ht="16.5">
      <c r="A332" s="12"/>
      <c r="B332" s="12"/>
      <c r="C332" s="12"/>
      <c r="D332" s="13"/>
      <c r="E332" s="13"/>
      <c r="F332" s="12"/>
      <c r="G332" s="14"/>
      <c r="H332" s="56"/>
      <c r="I332" s="12"/>
      <c r="J332" s="15"/>
      <c r="K332" s="12"/>
      <c r="L332" s="15"/>
      <c r="M332" s="14"/>
      <c r="N332" s="15"/>
      <c r="O332" s="15"/>
      <c r="P332" s="15"/>
    </row>
    <row r="333" spans="1:16" ht="16.5">
      <c r="A333" s="12"/>
      <c r="B333" s="12"/>
      <c r="C333" s="12"/>
      <c r="D333" s="13"/>
      <c r="E333" s="13"/>
      <c r="F333" s="12"/>
      <c r="G333" s="14"/>
      <c r="H333" s="56"/>
      <c r="I333" s="12"/>
      <c r="J333" s="15"/>
      <c r="K333" s="12"/>
      <c r="L333" s="15"/>
      <c r="M333" s="14"/>
      <c r="N333" s="15"/>
      <c r="O333" s="15"/>
      <c r="P333" s="15"/>
    </row>
    <row r="334" spans="1:16" ht="16.5">
      <c r="A334" s="12"/>
      <c r="B334" s="12"/>
      <c r="C334" s="12"/>
      <c r="D334" s="13"/>
      <c r="E334" s="13"/>
      <c r="F334" s="12"/>
      <c r="G334" s="14"/>
      <c r="H334" s="56"/>
      <c r="I334" s="12"/>
      <c r="J334" s="15"/>
      <c r="K334" s="12"/>
      <c r="L334" s="15"/>
      <c r="M334" s="14"/>
      <c r="N334" s="15"/>
      <c r="O334" s="15"/>
      <c r="P334" s="15"/>
    </row>
    <row r="335" spans="1:16" ht="16.5">
      <c r="A335" s="12"/>
      <c r="B335" s="12"/>
      <c r="C335" s="12"/>
      <c r="D335" s="13"/>
      <c r="E335" s="13"/>
      <c r="F335" s="12"/>
      <c r="G335" s="14"/>
      <c r="H335" s="56"/>
      <c r="I335" s="12"/>
      <c r="J335" s="15"/>
      <c r="K335" s="12"/>
      <c r="L335" s="15"/>
      <c r="M335" s="14"/>
      <c r="N335" s="15"/>
      <c r="O335" s="15"/>
      <c r="P335" s="15"/>
    </row>
    <row r="336" spans="1:16" ht="16.5">
      <c r="A336" s="12"/>
      <c r="B336" s="12"/>
      <c r="C336" s="12"/>
      <c r="D336" s="13"/>
      <c r="E336" s="13"/>
      <c r="F336" s="12"/>
      <c r="G336" s="14"/>
      <c r="H336" s="56"/>
      <c r="I336" s="12"/>
      <c r="J336" s="15"/>
      <c r="K336" s="12"/>
      <c r="L336" s="15"/>
      <c r="M336" s="14"/>
      <c r="N336" s="15"/>
      <c r="O336" s="15"/>
      <c r="P336" s="15"/>
    </row>
    <row r="337" spans="1:16" ht="16.5">
      <c r="A337" s="12"/>
      <c r="B337" s="12"/>
      <c r="C337" s="12"/>
      <c r="D337" s="13"/>
      <c r="E337" s="13"/>
      <c r="F337" s="12"/>
      <c r="G337" s="14"/>
      <c r="H337" s="56"/>
      <c r="I337" s="12"/>
      <c r="J337" s="15"/>
      <c r="K337" s="12"/>
      <c r="L337" s="15"/>
      <c r="M337" s="14"/>
      <c r="N337" s="15"/>
      <c r="O337" s="15"/>
      <c r="P337" s="15"/>
    </row>
    <row r="338" spans="1:16" ht="16.5">
      <c r="A338" s="12"/>
      <c r="B338" s="12"/>
      <c r="C338" s="12"/>
      <c r="D338" s="13"/>
      <c r="E338" s="13"/>
      <c r="F338" s="12"/>
      <c r="G338" s="14"/>
      <c r="H338" s="56"/>
      <c r="I338" s="12"/>
      <c r="J338" s="15"/>
      <c r="K338" s="12"/>
      <c r="L338" s="15"/>
      <c r="M338" s="14"/>
      <c r="N338" s="15"/>
      <c r="O338" s="15"/>
      <c r="P338" s="15"/>
    </row>
    <row r="339" spans="1:16" ht="16.5">
      <c r="A339" s="12"/>
      <c r="B339" s="12"/>
      <c r="C339" s="12"/>
      <c r="D339" s="13"/>
      <c r="E339" s="13"/>
      <c r="F339" s="12"/>
      <c r="G339" s="14"/>
      <c r="H339" s="56"/>
      <c r="I339" s="12"/>
      <c r="J339" s="15"/>
      <c r="K339" s="12"/>
      <c r="L339" s="15"/>
      <c r="M339" s="14"/>
      <c r="N339" s="15"/>
      <c r="O339" s="15"/>
      <c r="P339" s="15"/>
    </row>
    <row r="340" spans="1:16" ht="16.5">
      <c r="A340" s="12"/>
      <c r="B340" s="12"/>
      <c r="C340" s="12"/>
      <c r="D340" s="13"/>
      <c r="E340" s="13"/>
      <c r="F340" s="12"/>
      <c r="G340" s="14"/>
      <c r="H340" s="56"/>
      <c r="I340" s="12"/>
      <c r="J340" s="15"/>
      <c r="K340" s="12"/>
      <c r="L340" s="15"/>
      <c r="M340" s="14"/>
      <c r="N340" s="15"/>
      <c r="O340" s="15"/>
      <c r="P340" s="15"/>
    </row>
    <row r="341" spans="1:16" ht="16.5">
      <c r="A341" s="12"/>
      <c r="B341" s="12"/>
      <c r="C341" s="12"/>
      <c r="D341" s="13"/>
      <c r="E341" s="13"/>
      <c r="F341" s="12"/>
      <c r="G341" s="14"/>
      <c r="H341" s="56"/>
      <c r="I341" s="12"/>
      <c r="J341" s="15"/>
      <c r="K341" s="12"/>
      <c r="L341" s="15"/>
      <c r="M341" s="14"/>
      <c r="N341" s="15"/>
      <c r="O341" s="15"/>
      <c r="P341" s="15"/>
    </row>
    <row r="342" spans="1:16" ht="16.5">
      <c r="A342" s="12"/>
      <c r="B342" s="12"/>
      <c r="C342" s="12"/>
      <c r="D342" s="13"/>
      <c r="E342" s="13"/>
      <c r="F342" s="12"/>
      <c r="G342" s="14"/>
      <c r="H342" s="56"/>
      <c r="I342" s="12"/>
      <c r="J342" s="15"/>
      <c r="K342" s="12"/>
      <c r="L342" s="15"/>
      <c r="M342" s="14"/>
      <c r="N342" s="15"/>
      <c r="O342" s="15"/>
      <c r="P342" s="15"/>
    </row>
    <row r="343" spans="1:16" ht="16.5">
      <c r="A343" s="12"/>
      <c r="B343" s="12"/>
      <c r="C343" s="12"/>
      <c r="D343" s="13"/>
      <c r="E343" s="13"/>
      <c r="F343" s="12"/>
      <c r="G343" s="14"/>
      <c r="H343" s="56"/>
      <c r="I343" s="12"/>
      <c r="J343" s="15"/>
      <c r="K343" s="12"/>
      <c r="L343" s="15"/>
      <c r="M343" s="14"/>
      <c r="N343" s="15"/>
      <c r="O343" s="15"/>
      <c r="P343" s="15"/>
    </row>
    <row r="344" spans="1:16" ht="16.5">
      <c r="A344" s="12"/>
      <c r="B344" s="12"/>
      <c r="C344" s="12"/>
      <c r="D344" s="13"/>
      <c r="E344" s="13"/>
      <c r="F344" s="12"/>
      <c r="G344" s="14"/>
      <c r="H344" s="56"/>
      <c r="I344" s="12"/>
      <c r="J344" s="15"/>
      <c r="K344" s="12"/>
      <c r="L344" s="15"/>
      <c r="M344" s="14"/>
      <c r="N344" s="15"/>
      <c r="O344" s="15"/>
      <c r="P344" s="15"/>
    </row>
    <row r="345" spans="1:16" ht="16.5">
      <c r="A345" s="12"/>
      <c r="B345" s="12"/>
      <c r="C345" s="12"/>
      <c r="D345" s="13"/>
      <c r="E345" s="13"/>
      <c r="F345" s="12"/>
      <c r="G345" s="14"/>
      <c r="H345" s="56"/>
      <c r="I345" s="12"/>
      <c r="J345" s="15"/>
      <c r="K345" s="12"/>
      <c r="L345" s="15"/>
      <c r="M345" s="14"/>
      <c r="N345" s="15"/>
      <c r="O345" s="15"/>
      <c r="P345" s="15"/>
    </row>
    <row r="346" spans="1:16" ht="16.5">
      <c r="A346" s="12"/>
      <c r="B346" s="12"/>
      <c r="C346" s="12"/>
      <c r="D346" s="13"/>
      <c r="E346" s="13"/>
      <c r="F346" s="12"/>
      <c r="G346" s="14"/>
      <c r="H346" s="56"/>
      <c r="I346" s="12"/>
      <c r="J346" s="15"/>
      <c r="K346" s="12"/>
      <c r="L346" s="15"/>
      <c r="M346" s="14"/>
      <c r="N346" s="15"/>
      <c r="O346" s="15"/>
      <c r="P346" s="15"/>
    </row>
    <row r="347" spans="1:16" ht="16.5">
      <c r="A347" s="12"/>
      <c r="B347" s="12"/>
      <c r="C347" s="12"/>
      <c r="D347" s="13"/>
      <c r="E347" s="13"/>
      <c r="F347" s="12"/>
      <c r="G347" s="14"/>
      <c r="H347" s="56"/>
      <c r="I347" s="12"/>
      <c r="J347" s="15"/>
      <c r="K347" s="12"/>
      <c r="L347" s="15"/>
      <c r="M347" s="14"/>
      <c r="N347" s="15"/>
      <c r="O347" s="15"/>
      <c r="P347" s="15"/>
    </row>
    <row r="348" spans="1:16" ht="16.5">
      <c r="A348" s="12"/>
      <c r="B348" s="12"/>
      <c r="C348" s="12"/>
      <c r="D348" s="13"/>
      <c r="E348" s="13"/>
      <c r="F348" s="12"/>
      <c r="G348" s="14"/>
      <c r="H348" s="56"/>
      <c r="I348" s="12"/>
      <c r="J348" s="15"/>
      <c r="K348" s="12"/>
      <c r="L348" s="15"/>
      <c r="M348" s="14"/>
      <c r="N348" s="15"/>
      <c r="O348" s="15"/>
      <c r="P348" s="15"/>
    </row>
    <row r="349" spans="1:16" ht="16.5">
      <c r="A349" s="12"/>
      <c r="B349" s="12"/>
      <c r="C349" s="12"/>
      <c r="D349" s="13"/>
      <c r="E349" s="13"/>
      <c r="F349" s="12"/>
      <c r="G349" s="14"/>
      <c r="H349" s="56"/>
      <c r="I349" s="12"/>
      <c r="J349" s="15"/>
      <c r="K349" s="12"/>
      <c r="L349" s="15"/>
      <c r="M349" s="14"/>
      <c r="N349" s="15"/>
      <c r="O349" s="15"/>
      <c r="P349" s="15"/>
    </row>
    <row r="350" spans="1:16" ht="16.5">
      <c r="A350" s="12"/>
      <c r="B350" s="12"/>
      <c r="C350" s="12"/>
      <c r="D350" s="13"/>
      <c r="E350" s="13"/>
      <c r="F350" s="12"/>
      <c r="G350" s="14"/>
      <c r="H350" s="56"/>
      <c r="I350" s="12"/>
      <c r="J350" s="15"/>
      <c r="K350" s="12"/>
      <c r="L350" s="15"/>
      <c r="M350" s="14"/>
      <c r="N350" s="15"/>
      <c r="O350" s="15"/>
      <c r="P350" s="15"/>
    </row>
    <row r="351" spans="1:16" ht="16.5">
      <c r="A351" s="12"/>
      <c r="B351" s="12"/>
      <c r="C351" s="12"/>
      <c r="D351" s="13"/>
      <c r="E351" s="13"/>
      <c r="F351" s="12"/>
      <c r="G351" s="14"/>
      <c r="H351" s="56"/>
      <c r="I351" s="12"/>
      <c r="J351" s="15"/>
      <c r="K351" s="12"/>
      <c r="L351" s="15"/>
      <c r="M351" s="14"/>
      <c r="N351" s="15"/>
      <c r="O351" s="15"/>
      <c r="P351" s="15"/>
    </row>
    <row r="352" spans="1:16" ht="16.5">
      <c r="A352" s="12"/>
      <c r="B352" s="12"/>
      <c r="C352" s="12"/>
      <c r="D352" s="13"/>
      <c r="E352" s="13"/>
      <c r="F352" s="12"/>
      <c r="G352" s="14"/>
      <c r="H352" s="56"/>
      <c r="I352" s="12"/>
      <c r="J352" s="15"/>
      <c r="K352" s="12"/>
      <c r="L352" s="15"/>
      <c r="M352" s="14"/>
      <c r="N352" s="15"/>
      <c r="O352" s="15"/>
      <c r="P352" s="15"/>
    </row>
    <row r="353" spans="1:16" ht="16.5">
      <c r="A353" s="12"/>
      <c r="B353" s="12"/>
      <c r="C353" s="12"/>
      <c r="D353" s="13"/>
      <c r="E353" s="13"/>
      <c r="F353" s="12"/>
      <c r="G353" s="14"/>
      <c r="H353" s="56"/>
      <c r="I353" s="12"/>
      <c r="J353" s="15"/>
      <c r="K353" s="12"/>
      <c r="L353" s="15"/>
      <c r="M353" s="14"/>
      <c r="N353" s="15"/>
      <c r="O353" s="15"/>
      <c r="P353" s="15"/>
    </row>
    <row r="354" spans="1:16" ht="16.5">
      <c r="A354" s="12"/>
      <c r="B354" s="12"/>
      <c r="C354" s="12"/>
      <c r="D354" s="13"/>
      <c r="E354" s="13"/>
      <c r="F354" s="12"/>
      <c r="G354" s="14"/>
      <c r="H354" s="56"/>
      <c r="I354" s="12"/>
      <c r="J354" s="15"/>
      <c r="K354" s="12"/>
      <c r="L354" s="15"/>
      <c r="M354" s="14"/>
      <c r="N354" s="15"/>
      <c r="O354" s="15"/>
      <c r="P354" s="15"/>
    </row>
    <row r="355" spans="1:16" ht="16.5">
      <c r="A355" s="12"/>
      <c r="B355" s="12"/>
      <c r="C355" s="12"/>
      <c r="D355" s="13"/>
      <c r="E355" s="13"/>
      <c r="F355" s="12"/>
      <c r="G355" s="14"/>
      <c r="H355" s="56"/>
      <c r="I355" s="12"/>
      <c r="J355" s="15"/>
      <c r="K355" s="12"/>
      <c r="L355" s="15"/>
      <c r="M355" s="14"/>
      <c r="N355" s="15"/>
      <c r="O355" s="15"/>
      <c r="P355" s="15"/>
    </row>
    <row r="356" spans="1:16" ht="16.5">
      <c r="A356" s="12"/>
      <c r="B356" s="12"/>
      <c r="C356" s="12"/>
      <c r="D356" s="13"/>
      <c r="E356" s="13"/>
      <c r="F356" s="12"/>
      <c r="G356" s="14"/>
      <c r="H356" s="56"/>
      <c r="I356" s="12"/>
      <c r="J356" s="15"/>
      <c r="K356" s="12"/>
      <c r="L356" s="15"/>
      <c r="M356" s="14"/>
      <c r="N356" s="15"/>
      <c r="O356" s="15"/>
      <c r="P356" s="15"/>
    </row>
    <row r="357" spans="1:16" ht="16.5">
      <c r="A357" s="12"/>
      <c r="B357" s="12"/>
      <c r="C357" s="12"/>
      <c r="D357" s="13"/>
      <c r="E357" s="13"/>
      <c r="F357" s="12"/>
      <c r="G357" s="14"/>
      <c r="H357" s="56"/>
      <c r="I357" s="12"/>
      <c r="J357" s="15"/>
      <c r="K357" s="12"/>
      <c r="L357" s="15"/>
      <c r="M357" s="14"/>
      <c r="N357" s="15"/>
      <c r="O357" s="15"/>
      <c r="P357" s="15"/>
    </row>
    <row r="358" spans="1:16" ht="16.5">
      <c r="A358" s="12"/>
      <c r="B358" s="12"/>
      <c r="C358" s="12"/>
      <c r="D358" s="13"/>
      <c r="E358" s="13"/>
      <c r="F358" s="12"/>
      <c r="G358" s="14"/>
      <c r="H358" s="56"/>
      <c r="I358" s="12"/>
      <c r="J358" s="15"/>
      <c r="K358" s="12"/>
      <c r="L358" s="15"/>
      <c r="M358" s="14"/>
      <c r="N358" s="15"/>
      <c r="O358" s="15"/>
      <c r="P358" s="15"/>
    </row>
    <row r="359" spans="1:16" ht="16.5">
      <c r="A359" s="12"/>
      <c r="B359" s="12"/>
      <c r="C359" s="12"/>
      <c r="D359" s="13"/>
      <c r="E359" s="13"/>
      <c r="F359" s="12"/>
      <c r="G359" s="14"/>
      <c r="H359" s="56"/>
      <c r="I359" s="12"/>
      <c r="J359" s="15"/>
      <c r="K359" s="12"/>
      <c r="L359" s="15"/>
      <c r="M359" s="14"/>
      <c r="N359" s="15"/>
      <c r="O359" s="15"/>
      <c r="P359" s="15"/>
    </row>
    <row r="360" spans="1:16" ht="16.5">
      <c r="A360" s="12"/>
      <c r="B360" s="12"/>
      <c r="C360" s="12"/>
      <c r="D360" s="13"/>
      <c r="E360" s="13"/>
      <c r="F360" s="12"/>
      <c r="G360" s="14"/>
      <c r="H360" s="56"/>
      <c r="I360" s="12"/>
      <c r="J360" s="15"/>
      <c r="K360" s="12"/>
      <c r="L360" s="15"/>
      <c r="M360" s="14"/>
      <c r="N360" s="15"/>
      <c r="O360" s="15"/>
      <c r="P360" s="15"/>
    </row>
    <row r="361" spans="1:16" ht="16.5">
      <c r="A361" s="12"/>
      <c r="B361" s="12"/>
      <c r="C361" s="12"/>
      <c r="D361" s="13"/>
      <c r="E361" s="13"/>
      <c r="F361" s="12"/>
      <c r="G361" s="14"/>
      <c r="H361" s="56"/>
      <c r="I361" s="12"/>
      <c r="J361" s="15"/>
      <c r="K361" s="12"/>
      <c r="L361" s="15"/>
      <c r="M361" s="14"/>
      <c r="N361" s="15"/>
      <c r="O361" s="15"/>
      <c r="P361" s="15"/>
    </row>
    <row r="362" spans="1:16" ht="16.5">
      <c r="A362" s="12"/>
      <c r="B362" s="12"/>
      <c r="C362" s="12"/>
      <c r="D362" s="13"/>
      <c r="E362" s="13"/>
      <c r="F362" s="12"/>
      <c r="G362" s="14"/>
      <c r="H362" s="56"/>
      <c r="I362" s="12"/>
      <c r="J362" s="15"/>
      <c r="K362" s="12"/>
      <c r="L362" s="15"/>
      <c r="M362" s="14"/>
      <c r="N362" s="15"/>
      <c r="O362" s="15"/>
      <c r="P362" s="15"/>
    </row>
    <row r="363" spans="1:16" ht="16.5">
      <c r="A363" s="12"/>
      <c r="B363" s="12"/>
      <c r="C363" s="12"/>
      <c r="D363" s="13"/>
      <c r="E363" s="13"/>
      <c r="F363" s="12"/>
      <c r="G363" s="14"/>
      <c r="H363" s="56"/>
      <c r="I363" s="12"/>
      <c r="J363" s="15"/>
      <c r="K363" s="12"/>
      <c r="L363" s="15"/>
      <c r="M363" s="14"/>
      <c r="N363" s="15"/>
      <c r="O363" s="15"/>
      <c r="P363" s="15"/>
    </row>
    <row r="364" spans="1:16" ht="16.5">
      <c r="A364" s="12"/>
      <c r="B364" s="12"/>
      <c r="C364" s="12"/>
      <c r="D364" s="13"/>
      <c r="E364" s="13"/>
      <c r="F364" s="12"/>
      <c r="G364" s="14"/>
      <c r="H364" s="56"/>
      <c r="I364" s="12"/>
      <c r="J364" s="15"/>
      <c r="K364" s="12"/>
      <c r="L364" s="15"/>
      <c r="M364" s="14"/>
      <c r="N364" s="15"/>
      <c r="O364" s="15"/>
      <c r="P364" s="15"/>
    </row>
    <row r="365" spans="1:16" ht="16.5">
      <c r="A365" s="12"/>
      <c r="B365" s="12"/>
      <c r="C365" s="12"/>
      <c r="D365" s="13"/>
      <c r="E365" s="13"/>
      <c r="F365" s="12"/>
      <c r="G365" s="14"/>
      <c r="H365" s="56"/>
      <c r="I365" s="12"/>
      <c r="J365" s="15"/>
      <c r="K365" s="12"/>
      <c r="L365" s="15"/>
      <c r="M365" s="14"/>
      <c r="N365" s="15"/>
      <c r="O365" s="15"/>
      <c r="P365" s="15"/>
    </row>
    <row r="366" spans="1:16" ht="16.5">
      <c r="A366" s="12"/>
      <c r="B366" s="12"/>
      <c r="C366" s="12"/>
      <c r="D366" s="13"/>
      <c r="E366" s="13"/>
      <c r="F366" s="12"/>
      <c r="G366" s="14"/>
      <c r="H366" s="56"/>
      <c r="I366" s="12"/>
      <c r="J366" s="15"/>
      <c r="K366" s="12"/>
      <c r="L366" s="15"/>
      <c r="M366" s="14"/>
      <c r="N366" s="15"/>
      <c r="O366" s="15"/>
      <c r="P366" s="15"/>
    </row>
    <row r="367" spans="1:16" ht="16.5">
      <c r="A367" s="12"/>
      <c r="B367" s="12"/>
      <c r="C367" s="12"/>
      <c r="D367" s="13"/>
      <c r="E367" s="13"/>
      <c r="F367" s="12"/>
      <c r="G367" s="14"/>
      <c r="H367" s="56"/>
      <c r="I367" s="12"/>
      <c r="J367" s="15"/>
      <c r="K367" s="12"/>
      <c r="L367" s="15"/>
      <c r="M367" s="14"/>
      <c r="N367" s="15"/>
      <c r="O367" s="15"/>
      <c r="P367" s="15"/>
    </row>
    <row r="368" spans="1:16" ht="16.5">
      <c r="A368" s="12"/>
      <c r="B368" s="12"/>
      <c r="C368" s="12"/>
      <c r="D368" s="13"/>
      <c r="E368" s="13"/>
      <c r="F368" s="12"/>
      <c r="G368" s="14"/>
      <c r="H368" s="56"/>
      <c r="I368" s="12"/>
      <c r="J368" s="15"/>
      <c r="K368" s="12"/>
      <c r="L368" s="15"/>
      <c r="M368" s="14"/>
      <c r="N368" s="15"/>
      <c r="O368" s="15"/>
      <c r="P368" s="15"/>
    </row>
    <row r="369" spans="1:16" ht="16.5">
      <c r="A369" s="12"/>
      <c r="B369" s="12"/>
      <c r="C369" s="12"/>
      <c r="D369" s="13"/>
      <c r="E369" s="13"/>
      <c r="F369" s="12"/>
      <c r="G369" s="14"/>
      <c r="H369" s="56"/>
      <c r="I369" s="12"/>
      <c r="J369" s="15"/>
      <c r="K369" s="12"/>
      <c r="L369" s="15"/>
      <c r="M369" s="14"/>
      <c r="N369" s="15"/>
      <c r="O369" s="15"/>
      <c r="P369" s="15"/>
    </row>
    <row r="370" spans="1:16" ht="16.5">
      <c r="A370" s="12"/>
      <c r="B370" s="12"/>
      <c r="C370" s="12"/>
      <c r="D370" s="13"/>
      <c r="E370" s="13"/>
      <c r="F370" s="12"/>
      <c r="G370" s="14"/>
      <c r="H370" s="56"/>
      <c r="I370" s="12"/>
      <c r="J370" s="15"/>
      <c r="K370" s="12"/>
      <c r="L370" s="15"/>
      <c r="M370" s="14"/>
      <c r="N370" s="15"/>
      <c r="O370" s="15"/>
      <c r="P370" s="15"/>
    </row>
    <row r="371" spans="1:16" ht="16.5">
      <c r="A371" s="12"/>
      <c r="B371" s="12"/>
      <c r="C371" s="12"/>
      <c r="D371" s="13"/>
      <c r="E371" s="13"/>
      <c r="F371" s="12"/>
      <c r="G371" s="14"/>
      <c r="H371" s="56"/>
      <c r="I371" s="12"/>
      <c r="J371" s="15"/>
      <c r="K371" s="12"/>
      <c r="L371" s="15"/>
      <c r="M371" s="14"/>
      <c r="N371" s="15"/>
      <c r="O371" s="15"/>
      <c r="P371" s="15"/>
    </row>
    <row r="372" spans="1:16" ht="16.5">
      <c r="A372" s="12"/>
      <c r="B372" s="12"/>
      <c r="C372" s="12"/>
      <c r="D372" s="13"/>
      <c r="E372" s="13"/>
      <c r="F372" s="12"/>
      <c r="G372" s="14"/>
      <c r="H372" s="56"/>
      <c r="I372" s="12"/>
      <c r="J372" s="15"/>
      <c r="K372" s="12"/>
      <c r="L372" s="15"/>
      <c r="M372" s="14"/>
      <c r="N372" s="15"/>
      <c r="O372" s="15"/>
      <c r="P372" s="15"/>
    </row>
    <row r="373" spans="1:16" ht="16.5">
      <c r="A373" s="12"/>
      <c r="B373" s="12"/>
      <c r="C373" s="12"/>
      <c r="D373" s="13"/>
      <c r="E373" s="13"/>
      <c r="F373" s="12"/>
      <c r="G373" s="14"/>
      <c r="H373" s="56"/>
      <c r="I373" s="12"/>
      <c r="J373" s="15"/>
      <c r="K373" s="12"/>
      <c r="L373" s="15"/>
      <c r="M373" s="14"/>
      <c r="N373" s="15"/>
      <c r="O373" s="15"/>
      <c r="P373" s="15"/>
    </row>
    <row r="374" spans="1:16" ht="16.5">
      <c r="A374" s="12"/>
      <c r="B374" s="12"/>
      <c r="C374" s="12"/>
      <c r="D374" s="13"/>
      <c r="E374" s="13"/>
      <c r="F374" s="12"/>
      <c r="G374" s="14"/>
      <c r="H374" s="56"/>
      <c r="I374" s="12"/>
      <c r="J374" s="15"/>
      <c r="K374" s="12"/>
      <c r="L374" s="15"/>
      <c r="M374" s="14"/>
      <c r="N374" s="15"/>
      <c r="O374" s="15"/>
      <c r="P374" s="15"/>
    </row>
    <row r="375" spans="1:16" ht="16.5">
      <c r="A375" s="12"/>
      <c r="B375" s="12"/>
      <c r="C375" s="12"/>
      <c r="D375" s="13"/>
      <c r="E375" s="13"/>
      <c r="F375" s="12"/>
      <c r="G375" s="14"/>
      <c r="H375" s="56"/>
      <c r="I375" s="12"/>
      <c r="J375" s="15"/>
      <c r="K375" s="12"/>
      <c r="L375" s="15"/>
      <c r="M375" s="14"/>
      <c r="N375" s="15"/>
      <c r="O375" s="15"/>
      <c r="P375" s="15"/>
    </row>
    <row r="376" spans="1:16" ht="16.5">
      <c r="A376" s="12"/>
      <c r="B376" s="12"/>
      <c r="C376" s="12"/>
      <c r="D376" s="13"/>
      <c r="E376" s="13"/>
      <c r="F376" s="12"/>
      <c r="G376" s="14"/>
      <c r="H376" s="56"/>
      <c r="I376" s="12"/>
      <c r="J376" s="15"/>
      <c r="K376" s="12"/>
      <c r="L376" s="15"/>
      <c r="M376" s="14"/>
      <c r="N376" s="15"/>
      <c r="O376" s="15"/>
      <c r="P376" s="15"/>
    </row>
    <row r="377" spans="1:16" ht="16.5">
      <c r="A377" s="12"/>
      <c r="B377" s="12"/>
      <c r="C377" s="12"/>
      <c r="D377" s="13"/>
      <c r="E377" s="13"/>
      <c r="F377" s="12"/>
      <c r="G377" s="14"/>
      <c r="H377" s="56"/>
      <c r="I377" s="12"/>
      <c r="J377" s="15"/>
      <c r="K377" s="12"/>
      <c r="L377" s="15"/>
      <c r="M377" s="14"/>
      <c r="N377" s="15"/>
      <c r="O377" s="15"/>
      <c r="P377" s="15"/>
    </row>
    <row r="378" spans="1:16" ht="16.5">
      <c r="A378" s="12"/>
      <c r="B378" s="12"/>
      <c r="C378" s="12"/>
      <c r="D378" s="13"/>
      <c r="E378" s="13"/>
      <c r="F378" s="12"/>
      <c r="G378" s="14"/>
      <c r="H378" s="56"/>
      <c r="I378" s="12"/>
      <c r="J378" s="15"/>
      <c r="K378" s="12"/>
      <c r="L378" s="15"/>
      <c r="M378" s="14"/>
      <c r="N378" s="15"/>
      <c r="O378" s="15"/>
      <c r="P378" s="15"/>
    </row>
    <row r="379" spans="1:16" ht="16.5">
      <c r="A379" s="12"/>
      <c r="B379" s="12"/>
      <c r="C379" s="12"/>
      <c r="D379" s="13"/>
      <c r="E379" s="13"/>
      <c r="F379" s="12"/>
      <c r="G379" s="14"/>
      <c r="H379" s="56"/>
      <c r="I379" s="12"/>
      <c r="J379" s="15"/>
      <c r="K379" s="12"/>
      <c r="L379" s="15"/>
      <c r="M379" s="14"/>
      <c r="N379" s="15"/>
      <c r="O379" s="15"/>
      <c r="P379" s="15"/>
    </row>
    <row r="380" spans="1:16" ht="16.5">
      <c r="A380" s="12"/>
      <c r="B380" s="12"/>
      <c r="C380" s="12"/>
      <c r="D380" s="13"/>
      <c r="E380" s="13"/>
      <c r="F380" s="12"/>
      <c r="G380" s="14"/>
      <c r="H380" s="56"/>
      <c r="I380" s="12"/>
      <c r="J380" s="15"/>
      <c r="K380" s="12"/>
      <c r="L380" s="15"/>
      <c r="M380" s="14"/>
      <c r="N380" s="15"/>
      <c r="O380" s="15"/>
      <c r="P380" s="15"/>
    </row>
    <row r="381" spans="1:16" ht="16.5">
      <c r="A381" s="12"/>
      <c r="B381" s="12"/>
      <c r="C381" s="12"/>
      <c r="D381" s="13"/>
      <c r="E381" s="13"/>
      <c r="F381" s="12"/>
      <c r="G381" s="14"/>
      <c r="H381" s="56"/>
      <c r="I381" s="12"/>
      <c r="J381" s="15"/>
      <c r="K381" s="12"/>
      <c r="L381" s="15"/>
      <c r="M381" s="14"/>
      <c r="N381" s="15"/>
      <c r="O381" s="15"/>
      <c r="P381" s="15"/>
    </row>
    <row r="382" spans="1:16" ht="16.5">
      <c r="A382" s="12"/>
      <c r="B382" s="12"/>
      <c r="C382" s="12"/>
      <c r="D382" s="13"/>
      <c r="E382" s="13"/>
      <c r="F382" s="12"/>
      <c r="G382" s="14"/>
      <c r="H382" s="56"/>
      <c r="I382" s="12"/>
      <c r="J382" s="15"/>
      <c r="K382" s="12"/>
      <c r="L382" s="15"/>
      <c r="M382" s="14"/>
      <c r="N382" s="15"/>
      <c r="O382" s="15"/>
      <c r="P382" s="15"/>
    </row>
    <row r="383" spans="1:16" ht="16.5">
      <c r="A383" s="12"/>
      <c r="B383" s="12"/>
      <c r="C383" s="12"/>
      <c r="D383" s="13"/>
      <c r="E383" s="13"/>
      <c r="F383" s="12"/>
      <c r="G383" s="14"/>
      <c r="H383" s="56"/>
      <c r="I383" s="12"/>
      <c r="J383" s="15"/>
      <c r="K383" s="12"/>
      <c r="L383" s="15"/>
      <c r="M383" s="14"/>
      <c r="N383" s="15"/>
      <c r="O383" s="15"/>
      <c r="P383" s="15"/>
    </row>
    <row r="384" spans="1:16" ht="16.5">
      <c r="A384" s="12"/>
      <c r="B384" s="12"/>
      <c r="C384" s="12"/>
      <c r="D384" s="13"/>
      <c r="E384" s="13"/>
      <c r="F384" s="12"/>
      <c r="G384" s="14"/>
      <c r="H384" s="56"/>
      <c r="I384" s="12"/>
      <c r="J384" s="15"/>
      <c r="K384" s="12"/>
      <c r="L384" s="15"/>
      <c r="M384" s="14"/>
      <c r="N384" s="15"/>
      <c r="O384" s="15"/>
      <c r="P384" s="15"/>
    </row>
    <row r="385" spans="1:16" ht="16.5">
      <c r="A385" s="12"/>
      <c r="B385" s="12"/>
      <c r="C385" s="12"/>
      <c r="D385" s="13"/>
      <c r="E385" s="13"/>
      <c r="F385" s="12"/>
      <c r="G385" s="14"/>
      <c r="H385" s="56"/>
      <c r="I385" s="12"/>
      <c r="J385" s="15"/>
      <c r="K385" s="12"/>
      <c r="L385" s="15"/>
      <c r="M385" s="14"/>
      <c r="N385" s="15"/>
      <c r="O385" s="15"/>
      <c r="P385" s="15"/>
    </row>
    <row r="386" spans="1:16" ht="16.5">
      <c r="A386" s="12"/>
      <c r="B386" s="12"/>
      <c r="C386" s="12"/>
      <c r="D386" s="13"/>
      <c r="E386" s="13"/>
      <c r="F386" s="12"/>
      <c r="G386" s="14"/>
      <c r="H386" s="56"/>
      <c r="I386" s="12"/>
      <c r="J386" s="15"/>
      <c r="K386" s="12"/>
      <c r="L386" s="15"/>
      <c r="M386" s="14"/>
      <c r="N386" s="15"/>
      <c r="O386" s="15"/>
      <c r="P386" s="15"/>
    </row>
    <row r="387" spans="1:16" ht="16.5">
      <c r="A387" s="12"/>
      <c r="B387" s="12"/>
      <c r="C387" s="12"/>
      <c r="D387" s="13"/>
      <c r="E387" s="13"/>
      <c r="F387" s="12"/>
      <c r="G387" s="14"/>
      <c r="H387" s="56"/>
      <c r="I387" s="12"/>
      <c r="J387" s="15"/>
      <c r="K387" s="12"/>
      <c r="L387" s="15"/>
      <c r="M387" s="14"/>
      <c r="N387" s="15"/>
      <c r="O387" s="15"/>
      <c r="P387" s="15"/>
    </row>
    <row r="388" spans="1:16" ht="16.5">
      <c r="A388" s="12"/>
      <c r="B388" s="12"/>
      <c r="C388" s="12"/>
      <c r="D388" s="13"/>
      <c r="E388" s="13"/>
      <c r="F388" s="12"/>
      <c r="G388" s="14"/>
      <c r="H388" s="56"/>
      <c r="I388" s="12"/>
      <c r="J388" s="15"/>
      <c r="K388" s="12"/>
      <c r="L388" s="15"/>
      <c r="M388" s="14"/>
      <c r="N388" s="15"/>
      <c r="O388" s="15"/>
      <c r="P388" s="15"/>
    </row>
    <row r="389" spans="1:16" ht="16.5">
      <c r="A389" s="12"/>
      <c r="B389" s="12"/>
      <c r="C389" s="12"/>
      <c r="D389" s="13"/>
      <c r="E389" s="13"/>
      <c r="F389" s="12"/>
      <c r="G389" s="14"/>
      <c r="H389" s="56"/>
      <c r="I389" s="12"/>
      <c r="J389" s="15"/>
      <c r="K389" s="12"/>
      <c r="L389" s="15"/>
      <c r="M389" s="14"/>
      <c r="N389" s="15"/>
      <c r="O389" s="15"/>
      <c r="P389" s="15"/>
    </row>
    <row r="390" spans="1:16" ht="16.5">
      <c r="A390" s="12"/>
      <c r="B390" s="12"/>
      <c r="C390" s="12"/>
      <c r="D390" s="13"/>
      <c r="E390" s="13"/>
      <c r="F390" s="12"/>
      <c r="G390" s="14"/>
      <c r="H390" s="56"/>
      <c r="I390" s="12"/>
      <c r="J390" s="15"/>
      <c r="K390" s="12"/>
      <c r="L390" s="15"/>
      <c r="M390" s="14"/>
      <c r="N390" s="15"/>
      <c r="O390" s="15"/>
      <c r="P390" s="15"/>
    </row>
    <row r="391" spans="1:16" ht="16.5">
      <c r="A391" s="12"/>
      <c r="B391" s="12"/>
      <c r="C391" s="12"/>
      <c r="D391" s="13"/>
      <c r="E391" s="13"/>
      <c r="F391" s="12"/>
      <c r="G391" s="14"/>
      <c r="H391" s="56"/>
      <c r="I391" s="12"/>
      <c r="J391" s="15"/>
      <c r="K391" s="12"/>
      <c r="L391" s="15"/>
      <c r="M391" s="14"/>
      <c r="N391" s="15"/>
      <c r="O391" s="15"/>
      <c r="P391" s="15"/>
    </row>
    <row r="392" spans="1:16" ht="16.5">
      <c r="A392" s="12"/>
      <c r="B392" s="12"/>
      <c r="C392" s="12"/>
      <c r="D392" s="13"/>
      <c r="E392" s="13"/>
      <c r="F392" s="12"/>
      <c r="G392" s="14"/>
      <c r="H392" s="56"/>
      <c r="I392" s="12"/>
      <c r="J392" s="15"/>
      <c r="K392" s="12"/>
      <c r="L392" s="15"/>
      <c r="M392" s="14"/>
      <c r="N392" s="15"/>
      <c r="O392" s="15"/>
      <c r="P392" s="15"/>
    </row>
    <row r="393" spans="1:16" ht="16.5">
      <c r="A393" s="12"/>
      <c r="B393" s="12"/>
      <c r="C393" s="12"/>
      <c r="D393" s="13"/>
      <c r="E393" s="13"/>
      <c r="F393" s="12"/>
      <c r="G393" s="14"/>
      <c r="H393" s="56"/>
      <c r="I393" s="12"/>
      <c r="J393" s="15"/>
      <c r="K393" s="12"/>
      <c r="L393" s="15"/>
      <c r="M393" s="14"/>
      <c r="N393" s="15"/>
      <c r="O393" s="15"/>
      <c r="P393" s="15"/>
    </row>
    <row r="394" spans="1:16" ht="16.5">
      <c r="A394" s="12"/>
      <c r="B394" s="12"/>
      <c r="C394" s="12"/>
      <c r="D394" s="13"/>
      <c r="E394" s="13"/>
      <c r="F394" s="12"/>
      <c r="G394" s="14"/>
      <c r="H394" s="56"/>
      <c r="I394" s="12"/>
      <c r="J394" s="15"/>
      <c r="K394" s="12"/>
      <c r="L394" s="15"/>
      <c r="M394" s="14"/>
      <c r="N394" s="15"/>
      <c r="O394" s="15"/>
      <c r="P394" s="15"/>
    </row>
    <row r="395" spans="1:16" ht="16.5">
      <c r="A395" s="12"/>
      <c r="B395" s="12"/>
      <c r="C395" s="12"/>
      <c r="D395" s="13"/>
      <c r="E395" s="13"/>
      <c r="F395" s="12"/>
      <c r="G395" s="14"/>
      <c r="H395" s="56"/>
      <c r="I395" s="12"/>
      <c r="J395" s="15"/>
      <c r="K395" s="12"/>
      <c r="L395" s="15"/>
      <c r="M395" s="14"/>
      <c r="N395" s="15"/>
      <c r="O395" s="15"/>
      <c r="P395" s="15"/>
    </row>
    <row r="396" spans="1:16" ht="16.5">
      <c r="A396" s="12"/>
      <c r="B396" s="12"/>
      <c r="C396" s="12"/>
      <c r="D396" s="13"/>
      <c r="E396" s="13"/>
      <c r="F396" s="12"/>
      <c r="G396" s="14"/>
      <c r="H396" s="56"/>
      <c r="I396" s="12"/>
      <c r="J396" s="15"/>
      <c r="K396" s="12"/>
      <c r="L396" s="15"/>
      <c r="M396" s="14"/>
      <c r="N396" s="15"/>
      <c r="O396" s="15"/>
      <c r="P396" s="15"/>
    </row>
    <row r="397" spans="1:16" ht="16.5">
      <c r="A397" s="12"/>
      <c r="B397" s="12"/>
      <c r="C397" s="12"/>
      <c r="D397" s="13"/>
      <c r="E397" s="13"/>
      <c r="F397" s="12"/>
      <c r="G397" s="14"/>
      <c r="H397" s="56"/>
      <c r="I397" s="12"/>
      <c r="J397" s="15"/>
      <c r="K397" s="12"/>
      <c r="L397" s="15"/>
      <c r="M397" s="14"/>
      <c r="N397" s="15"/>
      <c r="O397" s="15"/>
      <c r="P397" s="15"/>
    </row>
    <row r="398" spans="1:16" ht="16.5">
      <c r="A398" s="12"/>
      <c r="B398" s="12"/>
      <c r="C398" s="12"/>
      <c r="D398" s="13"/>
      <c r="E398" s="13"/>
      <c r="F398" s="12"/>
      <c r="G398" s="14"/>
      <c r="H398" s="56"/>
      <c r="I398" s="12"/>
      <c r="J398" s="15"/>
      <c r="K398" s="12"/>
      <c r="L398" s="15"/>
      <c r="M398" s="14"/>
      <c r="N398" s="15"/>
      <c r="O398" s="15"/>
      <c r="P398" s="15"/>
    </row>
    <row r="399" spans="1:16" ht="16.5">
      <c r="A399" s="12"/>
      <c r="B399" s="12"/>
      <c r="C399" s="12"/>
      <c r="D399" s="13"/>
      <c r="E399" s="13"/>
      <c r="F399" s="12"/>
      <c r="G399" s="14"/>
      <c r="H399" s="56"/>
      <c r="I399" s="12"/>
      <c r="J399" s="15"/>
      <c r="K399" s="12"/>
      <c r="L399" s="15"/>
      <c r="M399" s="14"/>
      <c r="N399" s="15"/>
      <c r="O399" s="15"/>
      <c r="P399" s="15"/>
    </row>
    <row r="400" spans="1:16" ht="16.5">
      <c r="A400" s="12"/>
      <c r="B400" s="12"/>
      <c r="C400" s="12"/>
      <c r="D400" s="13"/>
      <c r="E400" s="13"/>
      <c r="F400" s="12"/>
      <c r="G400" s="14"/>
      <c r="H400" s="56"/>
      <c r="I400" s="12"/>
      <c r="J400" s="15"/>
      <c r="K400" s="12"/>
      <c r="L400" s="15"/>
      <c r="M400" s="14"/>
      <c r="N400" s="15"/>
      <c r="O400" s="15"/>
      <c r="P400" s="15"/>
    </row>
    <row r="401" spans="1:16" ht="16.5">
      <c r="A401" s="12"/>
      <c r="B401" s="12"/>
      <c r="C401" s="12"/>
      <c r="D401" s="13"/>
      <c r="E401" s="13"/>
      <c r="F401" s="12"/>
      <c r="G401" s="14"/>
      <c r="H401" s="56"/>
      <c r="I401" s="12"/>
      <c r="J401" s="15"/>
      <c r="K401" s="12"/>
      <c r="L401" s="15"/>
      <c r="M401" s="14"/>
      <c r="N401" s="15"/>
      <c r="O401" s="15"/>
      <c r="P401" s="15"/>
    </row>
    <row r="402" spans="1:16" ht="16.5">
      <c r="A402" s="12"/>
      <c r="B402" s="12"/>
      <c r="C402" s="12"/>
      <c r="D402" s="13"/>
      <c r="E402" s="13"/>
      <c r="F402" s="12"/>
      <c r="G402" s="14"/>
      <c r="H402" s="56"/>
      <c r="I402" s="12"/>
      <c r="J402" s="15"/>
      <c r="K402" s="12"/>
      <c r="L402" s="15"/>
      <c r="M402" s="14"/>
      <c r="N402" s="15"/>
      <c r="O402" s="15"/>
      <c r="P402" s="15"/>
    </row>
    <row r="403" spans="1:16" ht="16.5">
      <c r="A403" s="12"/>
      <c r="B403" s="12"/>
      <c r="C403" s="12"/>
      <c r="D403" s="13"/>
      <c r="E403" s="13"/>
      <c r="F403" s="12"/>
      <c r="G403" s="14"/>
      <c r="H403" s="56"/>
      <c r="I403" s="12"/>
      <c r="J403" s="15"/>
      <c r="K403" s="12"/>
      <c r="L403" s="15"/>
      <c r="M403" s="14"/>
      <c r="N403" s="15"/>
      <c r="O403" s="15"/>
      <c r="P403" s="15"/>
    </row>
    <row r="404" spans="1:16" ht="16.5">
      <c r="A404" s="12"/>
      <c r="B404" s="12"/>
      <c r="C404" s="12"/>
      <c r="D404" s="13"/>
      <c r="E404" s="13"/>
      <c r="F404" s="12"/>
      <c r="G404" s="14"/>
      <c r="H404" s="56"/>
      <c r="I404" s="12"/>
      <c r="J404" s="15"/>
      <c r="K404" s="12"/>
      <c r="L404" s="15"/>
      <c r="M404" s="14"/>
      <c r="N404" s="15"/>
      <c r="O404" s="15"/>
      <c r="P404" s="15"/>
    </row>
    <row r="405" spans="1:16" ht="16.5">
      <c r="A405" s="12"/>
      <c r="B405" s="12"/>
      <c r="C405" s="12"/>
      <c r="D405" s="13"/>
      <c r="E405" s="13"/>
      <c r="F405" s="12"/>
      <c r="G405" s="14"/>
      <c r="H405" s="56"/>
      <c r="I405" s="12"/>
      <c r="J405" s="15"/>
      <c r="K405" s="12"/>
      <c r="L405" s="15"/>
      <c r="M405" s="14"/>
      <c r="N405" s="15"/>
      <c r="O405" s="15"/>
      <c r="P405" s="15"/>
    </row>
    <row r="406" spans="1:16" ht="16.5">
      <c r="A406" s="12"/>
      <c r="B406" s="12"/>
      <c r="C406" s="12"/>
      <c r="D406" s="13"/>
      <c r="E406" s="13"/>
      <c r="F406" s="12"/>
      <c r="G406" s="14"/>
      <c r="H406" s="56"/>
      <c r="I406" s="12"/>
      <c r="J406" s="15"/>
      <c r="K406" s="12"/>
      <c r="L406" s="15"/>
      <c r="M406" s="14"/>
      <c r="N406" s="15"/>
      <c r="O406" s="15"/>
      <c r="P406" s="15"/>
    </row>
    <row r="407" spans="1:16" ht="16.5">
      <c r="A407" s="12"/>
      <c r="B407" s="12"/>
      <c r="C407" s="12"/>
      <c r="D407" s="13"/>
      <c r="E407" s="13"/>
      <c r="F407" s="12"/>
      <c r="G407" s="14"/>
      <c r="H407" s="56"/>
      <c r="I407" s="12"/>
      <c r="J407" s="15"/>
      <c r="K407" s="12"/>
      <c r="L407" s="15"/>
      <c r="M407" s="14"/>
      <c r="N407" s="15"/>
      <c r="O407" s="15"/>
      <c r="P407" s="15"/>
    </row>
    <row r="408" spans="1:16" ht="16.5">
      <c r="A408" s="12"/>
      <c r="B408" s="12"/>
      <c r="C408" s="12"/>
      <c r="D408" s="13"/>
      <c r="E408" s="13"/>
      <c r="F408" s="12"/>
      <c r="G408" s="14"/>
      <c r="H408" s="56"/>
      <c r="I408" s="12"/>
      <c r="J408" s="15"/>
      <c r="K408" s="12"/>
      <c r="L408" s="15"/>
      <c r="M408" s="14"/>
      <c r="N408" s="15"/>
      <c r="O408" s="15"/>
      <c r="P408" s="15"/>
    </row>
    <row r="409" spans="1:16" ht="16.5">
      <c r="A409" s="12"/>
      <c r="B409" s="12"/>
      <c r="C409" s="12"/>
      <c r="D409" s="13"/>
      <c r="E409" s="13"/>
      <c r="F409" s="12"/>
      <c r="G409" s="14"/>
      <c r="H409" s="56"/>
      <c r="I409" s="12"/>
      <c r="J409" s="15"/>
      <c r="K409" s="12"/>
      <c r="L409" s="15"/>
      <c r="M409" s="14"/>
      <c r="N409" s="15"/>
      <c r="O409" s="15"/>
      <c r="P409" s="15"/>
    </row>
    <row r="410" spans="1:16" ht="16.5">
      <c r="A410" s="12"/>
      <c r="B410" s="12"/>
      <c r="C410" s="12"/>
      <c r="D410" s="13"/>
      <c r="E410" s="13"/>
      <c r="F410" s="12"/>
      <c r="G410" s="14"/>
      <c r="H410" s="56"/>
      <c r="I410" s="12"/>
      <c r="J410" s="15"/>
      <c r="K410" s="12"/>
      <c r="L410" s="15"/>
      <c r="M410" s="14"/>
      <c r="N410" s="15"/>
      <c r="O410" s="15"/>
      <c r="P410" s="15"/>
    </row>
    <row r="411" spans="1:16" ht="16.5">
      <c r="A411" s="12"/>
      <c r="B411" s="12"/>
      <c r="C411" s="12"/>
      <c r="D411" s="13"/>
      <c r="E411" s="13"/>
      <c r="F411" s="12"/>
      <c r="G411" s="14"/>
      <c r="H411" s="56"/>
      <c r="I411" s="12"/>
      <c r="J411" s="15"/>
      <c r="K411" s="12"/>
      <c r="L411" s="15"/>
      <c r="M411" s="14"/>
      <c r="N411" s="15"/>
      <c r="O411" s="15"/>
      <c r="P411" s="15"/>
    </row>
    <row r="412" spans="1:16" ht="16.5">
      <c r="A412" s="12"/>
      <c r="B412" s="12"/>
      <c r="C412" s="12"/>
      <c r="D412" s="13"/>
      <c r="E412" s="13"/>
      <c r="F412" s="12"/>
      <c r="G412" s="14"/>
      <c r="H412" s="56"/>
      <c r="I412" s="12"/>
      <c r="J412" s="15"/>
      <c r="K412" s="12"/>
      <c r="L412" s="15"/>
      <c r="M412" s="14"/>
      <c r="N412" s="15"/>
      <c r="O412" s="15"/>
      <c r="P412" s="15"/>
    </row>
    <row r="413" spans="1:16" ht="16.5">
      <c r="A413" s="12"/>
      <c r="B413" s="12"/>
      <c r="C413" s="12"/>
      <c r="D413" s="13"/>
      <c r="E413" s="13"/>
      <c r="F413" s="12"/>
      <c r="G413" s="14"/>
      <c r="H413" s="56"/>
      <c r="I413" s="12"/>
      <c r="J413" s="15"/>
      <c r="K413" s="12"/>
      <c r="L413" s="15"/>
      <c r="M413" s="14"/>
      <c r="N413" s="15"/>
      <c r="O413" s="15"/>
      <c r="P413" s="15"/>
    </row>
    <row r="414" spans="1:16" ht="16.5">
      <c r="A414" s="12"/>
      <c r="B414" s="12"/>
      <c r="C414" s="12"/>
      <c r="D414" s="13"/>
      <c r="E414" s="13"/>
      <c r="F414" s="12"/>
      <c r="G414" s="14"/>
      <c r="H414" s="56"/>
      <c r="I414" s="12"/>
      <c r="J414" s="15"/>
      <c r="K414" s="12"/>
      <c r="L414" s="15"/>
      <c r="M414" s="14"/>
      <c r="N414" s="15"/>
      <c r="O414" s="15"/>
      <c r="P414" s="15"/>
    </row>
    <row r="415" spans="1:16" ht="16.5">
      <c r="A415" s="12"/>
      <c r="B415" s="12"/>
      <c r="C415" s="12"/>
      <c r="D415" s="13"/>
      <c r="E415" s="13"/>
      <c r="F415" s="12"/>
      <c r="G415" s="14"/>
      <c r="H415" s="56"/>
      <c r="I415" s="12"/>
      <c r="J415" s="15"/>
      <c r="K415" s="12"/>
      <c r="L415" s="15"/>
      <c r="M415" s="14"/>
      <c r="N415" s="15"/>
      <c r="O415" s="15"/>
      <c r="P415" s="15"/>
    </row>
    <row r="416" spans="1:16" ht="16.5">
      <c r="A416" s="12"/>
      <c r="B416" s="12"/>
      <c r="C416" s="12"/>
      <c r="D416" s="13"/>
      <c r="E416" s="13"/>
      <c r="F416" s="12"/>
      <c r="G416" s="14"/>
      <c r="H416" s="56"/>
      <c r="I416" s="12"/>
      <c r="J416" s="15"/>
      <c r="K416" s="12"/>
      <c r="L416" s="15"/>
      <c r="M416" s="14"/>
      <c r="N416" s="15"/>
      <c r="O416" s="15"/>
      <c r="P416" s="15"/>
    </row>
    <row r="417" spans="1:16" ht="16.5">
      <c r="A417" s="12"/>
      <c r="B417" s="12"/>
      <c r="C417" s="12"/>
      <c r="D417" s="13"/>
      <c r="E417" s="13"/>
      <c r="F417" s="12"/>
      <c r="G417" s="14"/>
      <c r="H417" s="56"/>
      <c r="I417" s="12"/>
      <c r="J417" s="15"/>
      <c r="K417" s="12"/>
      <c r="L417" s="15"/>
      <c r="M417" s="14"/>
      <c r="N417" s="15"/>
      <c r="O417" s="15"/>
      <c r="P417" s="15"/>
    </row>
    <row r="418" spans="1:16" ht="16.5">
      <c r="A418" s="12"/>
      <c r="B418" s="12"/>
      <c r="C418" s="12"/>
      <c r="D418" s="13"/>
      <c r="E418" s="13"/>
      <c r="F418" s="12"/>
      <c r="G418" s="14"/>
      <c r="H418" s="56"/>
      <c r="I418" s="12"/>
      <c r="J418" s="15"/>
      <c r="K418" s="12"/>
      <c r="L418" s="15"/>
      <c r="M418" s="14"/>
      <c r="N418" s="15"/>
      <c r="O418" s="15"/>
      <c r="P418" s="15"/>
    </row>
    <row r="419" spans="1:16" ht="16.5">
      <c r="A419" s="12"/>
      <c r="B419" s="12"/>
      <c r="C419" s="12"/>
      <c r="D419" s="13"/>
      <c r="E419" s="13"/>
      <c r="F419" s="12"/>
      <c r="G419" s="14"/>
      <c r="H419" s="56"/>
      <c r="I419" s="12"/>
      <c r="J419" s="15"/>
      <c r="K419" s="12"/>
      <c r="L419" s="15"/>
      <c r="M419" s="14"/>
      <c r="N419" s="15"/>
      <c r="O419" s="15"/>
      <c r="P419" s="15"/>
    </row>
    <row r="420" spans="1:16" ht="16.5">
      <c r="A420" s="12"/>
      <c r="B420" s="12"/>
      <c r="C420" s="12"/>
      <c r="D420" s="13"/>
      <c r="E420" s="13"/>
      <c r="F420" s="12"/>
      <c r="G420" s="14"/>
      <c r="H420" s="56"/>
      <c r="I420" s="12"/>
      <c r="J420" s="15"/>
      <c r="K420" s="12"/>
      <c r="L420" s="15"/>
      <c r="M420" s="14"/>
      <c r="N420" s="15"/>
      <c r="O420" s="15"/>
      <c r="P420" s="15"/>
    </row>
    <row r="421" spans="1:16" ht="16.5">
      <c r="A421" s="12"/>
      <c r="B421" s="12"/>
      <c r="C421" s="12"/>
      <c r="D421" s="13"/>
      <c r="E421" s="13"/>
      <c r="F421" s="12"/>
      <c r="G421" s="14"/>
      <c r="H421" s="56"/>
      <c r="I421" s="12"/>
      <c r="J421" s="15"/>
      <c r="K421" s="12"/>
      <c r="L421" s="15"/>
      <c r="M421" s="14"/>
      <c r="N421" s="15"/>
      <c r="O421" s="15"/>
      <c r="P421" s="15"/>
    </row>
    <row r="422" spans="1:16" ht="16.5">
      <c r="A422" s="12"/>
      <c r="B422" s="12"/>
      <c r="C422" s="12"/>
      <c r="D422" s="13"/>
      <c r="E422" s="13"/>
      <c r="F422" s="12"/>
      <c r="G422" s="14"/>
      <c r="H422" s="56"/>
      <c r="I422" s="12"/>
      <c r="J422" s="15"/>
      <c r="K422" s="12"/>
      <c r="L422" s="15"/>
      <c r="M422" s="14"/>
      <c r="N422" s="15"/>
      <c r="O422" s="15"/>
      <c r="P422" s="15"/>
    </row>
    <row r="423" spans="1:16" ht="16.5">
      <c r="A423" s="12"/>
      <c r="B423" s="12"/>
      <c r="C423" s="12"/>
      <c r="D423" s="13"/>
      <c r="E423" s="13"/>
      <c r="F423" s="12"/>
      <c r="G423" s="14"/>
      <c r="H423" s="56"/>
      <c r="I423" s="12"/>
      <c r="J423" s="15"/>
      <c r="K423" s="12"/>
      <c r="L423" s="15"/>
      <c r="M423" s="14"/>
      <c r="N423" s="15"/>
      <c r="O423" s="15"/>
      <c r="P423" s="15"/>
    </row>
    <row r="424" spans="1:16" ht="16.5">
      <c r="A424" s="12"/>
      <c r="B424" s="12"/>
      <c r="C424" s="12"/>
      <c r="D424" s="13"/>
      <c r="E424" s="13"/>
      <c r="F424" s="12"/>
      <c r="G424" s="14"/>
      <c r="H424" s="56"/>
      <c r="I424" s="12"/>
      <c r="J424" s="15"/>
      <c r="K424" s="12"/>
      <c r="L424" s="15"/>
      <c r="M424" s="14"/>
      <c r="N424" s="15"/>
      <c r="O424" s="15"/>
      <c r="P424" s="15"/>
    </row>
    <row r="425" spans="1:16" ht="16.5">
      <c r="A425" s="12"/>
      <c r="B425" s="12"/>
      <c r="C425" s="12"/>
      <c r="D425" s="13"/>
      <c r="E425" s="13"/>
      <c r="F425" s="12"/>
      <c r="G425" s="14"/>
      <c r="H425" s="56"/>
      <c r="I425" s="12"/>
      <c r="J425" s="15"/>
      <c r="K425" s="12"/>
      <c r="L425" s="15"/>
      <c r="M425" s="14"/>
      <c r="N425" s="15"/>
      <c r="O425" s="15"/>
      <c r="P425" s="15"/>
    </row>
    <row r="426" spans="1:16" ht="16.5">
      <c r="A426" s="12"/>
      <c r="B426" s="12"/>
      <c r="C426" s="12"/>
      <c r="D426" s="13"/>
      <c r="E426" s="13"/>
      <c r="F426" s="12"/>
      <c r="G426" s="14"/>
      <c r="H426" s="56"/>
      <c r="I426" s="12"/>
      <c r="J426" s="15"/>
      <c r="K426" s="12"/>
      <c r="L426" s="15"/>
      <c r="M426" s="14"/>
      <c r="N426" s="15"/>
      <c r="O426" s="15"/>
      <c r="P426" s="15"/>
    </row>
    <row r="427" spans="1:16" ht="16.5">
      <c r="A427" s="12"/>
      <c r="B427" s="12"/>
      <c r="C427" s="12"/>
      <c r="D427" s="13"/>
      <c r="E427" s="13"/>
      <c r="F427" s="12"/>
      <c r="G427" s="14"/>
      <c r="H427" s="56"/>
      <c r="I427" s="12"/>
      <c r="J427" s="15"/>
      <c r="K427" s="12"/>
      <c r="L427" s="15"/>
      <c r="M427" s="14"/>
      <c r="N427" s="15"/>
      <c r="O427" s="15"/>
      <c r="P427" s="15"/>
    </row>
    <row r="428" spans="1:16" ht="16.5">
      <c r="A428" s="12"/>
      <c r="B428" s="12"/>
      <c r="C428" s="12"/>
      <c r="D428" s="13"/>
      <c r="E428" s="13"/>
      <c r="F428" s="12"/>
      <c r="G428" s="14"/>
      <c r="H428" s="56"/>
      <c r="I428" s="12"/>
      <c r="J428" s="15"/>
      <c r="K428" s="12"/>
      <c r="L428" s="15"/>
      <c r="M428" s="14"/>
      <c r="N428" s="15"/>
      <c r="O428" s="15"/>
      <c r="P428" s="15"/>
    </row>
    <row r="429" spans="1:16" ht="16.5">
      <c r="A429" s="12"/>
      <c r="B429" s="12"/>
      <c r="C429" s="12"/>
      <c r="D429" s="13"/>
      <c r="E429" s="13"/>
      <c r="F429" s="12"/>
      <c r="G429" s="14"/>
      <c r="H429" s="56"/>
      <c r="I429" s="12"/>
      <c r="J429" s="15"/>
      <c r="K429" s="12"/>
      <c r="L429" s="15"/>
      <c r="M429" s="14"/>
      <c r="N429" s="15"/>
      <c r="O429" s="15"/>
      <c r="P429" s="15"/>
    </row>
    <row r="430" spans="1:16" ht="16.5">
      <c r="A430" s="12"/>
      <c r="B430" s="12"/>
      <c r="C430" s="12"/>
      <c r="D430" s="13"/>
      <c r="E430" s="13"/>
      <c r="F430" s="12"/>
      <c r="G430" s="14"/>
      <c r="H430" s="56"/>
      <c r="I430" s="12"/>
      <c r="J430" s="15"/>
      <c r="K430" s="12"/>
      <c r="L430" s="15"/>
      <c r="M430" s="14"/>
      <c r="N430" s="15"/>
      <c r="O430" s="15"/>
      <c r="P430" s="15"/>
    </row>
    <row r="431" spans="1:16" ht="16.5">
      <c r="A431" s="12"/>
      <c r="B431" s="12"/>
      <c r="C431" s="12"/>
      <c r="D431" s="13"/>
      <c r="E431" s="13"/>
      <c r="F431" s="12"/>
      <c r="G431" s="14"/>
      <c r="H431" s="56"/>
      <c r="I431" s="12"/>
      <c r="J431" s="15"/>
      <c r="K431" s="12"/>
      <c r="L431" s="15"/>
      <c r="M431" s="14"/>
      <c r="N431" s="15"/>
      <c r="O431" s="15"/>
      <c r="P431" s="15"/>
    </row>
    <row r="432" spans="1:16" ht="16.5">
      <c r="A432" s="12"/>
      <c r="B432" s="12"/>
      <c r="C432" s="12"/>
      <c r="D432" s="13"/>
      <c r="E432" s="13"/>
      <c r="F432" s="12"/>
      <c r="G432" s="14"/>
      <c r="H432" s="56"/>
      <c r="I432" s="12"/>
      <c r="J432" s="15"/>
      <c r="K432" s="12"/>
      <c r="L432" s="15"/>
      <c r="M432" s="14"/>
      <c r="N432" s="15"/>
      <c r="O432" s="15"/>
      <c r="P432" s="15"/>
    </row>
    <row r="433" spans="1:16" ht="16.5">
      <c r="A433" s="12"/>
      <c r="B433" s="12"/>
      <c r="C433" s="12"/>
      <c r="D433" s="13"/>
      <c r="E433" s="13"/>
      <c r="F433" s="12"/>
      <c r="G433" s="14"/>
      <c r="H433" s="56"/>
      <c r="I433" s="12"/>
      <c r="J433" s="15"/>
      <c r="K433" s="12"/>
      <c r="L433" s="15"/>
      <c r="M433" s="14"/>
      <c r="N433" s="15"/>
      <c r="O433" s="15"/>
      <c r="P433" s="15"/>
    </row>
    <row r="434" spans="1:16" ht="16.5">
      <c r="A434" s="12"/>
      <c r="B434" s="12"/>
      <c r="C434" s="12"/>
      <c r="D434" s="13"/>
      <c r="E434" s="13"/>
      <c r="F434" s="12"/>
      <c r="G434" s="14"/>
      <c r="H434" s="56"/>
      <c r="I434" s="12"/>
      <c r="J434" s="15"/>
      <c r="K434" s="12"/>
      <c r="L434" s="15"/>
      <c r="M434" s="14"/>
      <c r="N434" s="15"/>
      <c r="O434" s="15"/>
      <c r="P434" s="15"/>
    </row>
    <row r="435" spans="1:16" ht="16.5">
      <c r="A435" s="12"/>
      <c r="B435" s="12"/>
      <c r="C435" s="12"/>
      <c r="D435" s="13"/>
      <c r="E435" s="13"/>
      <c r="F435" s="12"/>
      <c r="G435" s="14"/>
      <c r="H435" s="56"/>
      <c r="I435" s="12"/>
      <c r="J435" s="15"/>
      <c r="K435" s="12"/>
      <c r="L435" s="15"/>
      <c r="M435" s="14"/>
      <c r="N435" s="15"/>
      <c r="O435" s="15"/>
      <c r="P435" s="15"/>
    </row>
    <row r="436" spans="1:16" ht="16.5">
      <c r="A436" s="12"/>
      <c r="B436" s="12"/>
      <c r="C436" s="12"/>
      <c r="D436" s="13"/>
      <c r="E436" s="13"/>
      <c r="F436" s="12"/>
      <c r="G436" s="14"/>
      <c r="H436" s="56"/>
      <c r="I436" s="12"/>
      <c r="J436" s="15"/>
      <c r="K436" s="12"/>
      <c r="L436" s="15"/>
      <c r="M436" s="14"/>
      <c r="N436" s="15"/>
      <c r="O436" s="15"/>
      <c r="P436" s="15"/>
    </row>
    <row r="437" spans="1:16" ht="16.5">
      <c r="A437" s="12"/>
      <c r="B437" s="12"/>
      <c r="C437" s="12"/>
      <c r="D437" s="13"/>
      <c r="E437" s="13"/>
      <c r="F437" s="12"/>
      <c r="G437" s="14"/>
      <c r="H437" s="56"/>
      <c r="I437" s="12"/>
      <c r="J437" s="15"/>
      <c r="K437" s="12"/>
      <c r="L437" s="15"/>
      <c r="M437" s="14"/>
      <c r="N437" s="15"/>
      <c r="O437" s="15"/>
      <c r="P437" s="15"/>
    </row>
    <row r="438" spans="1:16" ht="16.5">
      <c r="A438" s="12"/>
      <c r="B438" s="12"/>
      <c r="C438" s="12"/>
      <c r="D438" s="13"/>
      <c r="E438" s="13"/>
      <c r="F438" s="12"/>
      <c r="G438" s="14"/>
      <c r="H438" s="56"/>
      <c r="I438" s="12"/>
      <c r="J438" s="15"/>
      <c r="K438" s="12"/>
      <c r="L438" s="15"/>
      <c r="M438" s="14"/>
      <c r="N438" s="15"/>
      <c r="O438" s="15"/>
      <c r="P438" s="15"/>
    </row>
    <row r="439" spans="1:16" ht="16.5">
      <c r="A439" s="12"/>
      <c r="B439" s="12"/>
      <c r="C439" s="12"/>
      <c r="D439" s="13"/>
      <c r="E439" s="13"/>
      <c r="F439" s="12"/>
      <c r="G439" s="14"/>
      <c r="H439" s="56"/>
      <c r="I439" s="12"/>
      <c r="J439" s="15"/>
      <c r="K439" s="12"/>
      <c r="L439" s="15"/>
      <c r="M439" s="14"/>
      <c r="N439" s="15"/>
      <c r="O439" s="15"/>
      <c r="P439" s="15"/>
    </row>
    <row r="440" spans="1:16" ht="16.5">
      <c r="A440" s="12"/>
      <c r="B440" s="12"/>
      <c r="C440" s="12"/>
      <c r="D440" s="13"/>
      <c r="E440" s="13"/>
      <c r="F440" s="12"/>
      <c r="G440" s="14"/>
      <c r="H440" s="56"/>
      <c r="I440" s="12"/>
      <c r="J440" s="15"/>
      <c r="K440" s="12"/>
      <c r="L440" s="15"/>
      <c r="M440" s="14"/>
      <c r="N440" s="15"/>
      <c r="O440" s="15"/>
      <c r="P440" s="15"/>
    </row>
    <row r="441" spans="1:16" ht="16.5">
      <c r="A441" s="12"/>
      <c r="B441" s="12"/>
      <c r="C441" s="12"/>
      <c r="D441" s="13"/>
      <c r="E441" s="13"/>
      <c r="F441" s="12"/>
      <c r="G441" s="14"/>
      <c r="H441" s="56"/>
      <c r="I441" s="12"/>
      <c r="J441" s="15"/>
      <c r="K441" s="12"/>
      <c r="L441" s="15"/>
      <c r="M441" s="14"/>
      <c r="N441" s="15"/>
      <c r="O441" s="15"/>
      <c r="P441" s="15"/>
    </row>
    <row r="442" spans="1:16" ht="16.5">
      <c r="A442" s="12"/>
      <c r="B442" s="12"/>
      <c r="C442" s="12"/>
      <c r="D442" s="13"/>
      <c r="E442" s="13"/>
      <c r="F442" s="12"/>
      <c r="G442" s="14"/>
      <c r="H442" s="56"/>
      <c r="I442" s="12"/>
      <c r="J442" s="15"/>
      <c r="K442" s="12"/>
      <c r="L442" s="15"/>
      <c r="M442" s="14"/>
      <c r="N442" s="15"/>
      <c r="O442" s="15"/>
      <c r="P442" s="15"/>
    </row>
    <row r="443" spans="1:16" ht="16.5">
      <c r="A443" s="12"/>
      <c r="B443" s="12"/>
      <c r="C443" s="12"/>
      <c r="D443" s="13"/>
      <c r="E443" s="13"/>
      <c r="F443" s="12"/>
      <c r="G443" s="14"/>
      <c r="H443" s="56"/>
      <c r="I443" s="12"/>
      <c r="J443" s="15"/>
      <c r="K443" s="12"/>
      <c r="L443" s="15"/>
      <c r="M443" s="14"/>
      <c r="N443" s="15"/>
      <c r="O443" s="15"/>
      <c r="P443" s="15"/>
    </row>
    <row r="444" spans="1:16" ht="16.5">
      <c r="A444" s="12"/>
      <c r="B444" s="12"/>
      <c r="C444" s="12"/>
      <c r="D444" s="13"/>
      <c r="E444" s="13"/>
      <c r="F444" s="12"/>
      <c r="G444" s="14"/>
      <c r="H444" s="56"/>
      <c r="I444" s="12"/>
      <c r="J444" s="15"/>
      <c r="K444" s="12"/>
      <c r="L444" s="15"/>
      <c r="M444" s="14"/>
      <c r="N444" s="15"/>
      <c r="O444" s="15"/>
      <c r="P444" s="15"/>
    </row>
    <row r="445" spans="1:16" ht="16.5">
      <c r="A445" s="12"/>
      <c r="B445" s="12"/>
      <c r="C445" s="12"/>
      <c r="D445" s="13"/>
      <c r="E445" s="13"/>
      <c r="F445" s="12"/>
      <c r="G445" s="14"/>
      <c r="H445" s="56"/>
      <c r="I445" s="12"/>
      <c r="J445" s="15"/>
      <c r="K445" s="12"/>
      <c r="L445" s="15"/>
      <c r="M445" s="14"/>
      <c r="N445" s="15"/>
      <c r="O445" s="15"/>
      <c r="P445" s="15"/>
    </row>
    <row r="446" spans="1:16" ht="16.5">
      <c r="A446" s="12"/>
      <c r="B446" s="12"/>
      <c r="C446" s="12"/>
      <c r="D446" s="13"/>
      <c r="E446" s="13"/>
      <c r="F446" s="12"/>
      <c r="G446" s="14"/>
      <c r="H446" s="56"/>
      <c r="I446" s="12"/>
      <c r="J446" s="15"/>
      <c r="K446" s="12"/>
      <c r="L446" s="15"/>
      <c r="M446" s="14"/>
      <c r="N446" s="15"/>
      <c r="O446" s="15"/>
      <c r="P446" s="15"/>
    </row>
    <row r="447" spans="1:16" ht="16.5">
      <c r="A447" s="12"/>
      <c r="B447" s="12"/>
      <c r="C447" s="12"/>
      <c r="D447" s="13"/>
      <c r="E447" s="13"/>
      <c r="F447" s="12"/>
      <c r="G447" s="14"/>
      <c r="H447" s="56"/>
      <c r="I447" s="12"/>
      <c r="J447" s="15"/>
      <c r="K447" s="12"/>
      <c r="L447" s="15"/>
      <c r="M447" s="14"/>
      <c r="N447" s="15"/>
      <c r="O447" s="15"/>
      <c r="P447" s="15"/>
    </row>
    <row r="448" spans="1:16" ht="16.5">
      <c r="A448" s="12"/>
      <c r="B448" s="12"/>
      <c r="C448" s="12"/>
      <c r="D448" s="13"/>
      <c r="E448" s="13"/>
      <c r="F448" s="12"/>
      <c r="G448" s="14"/>
      <c r="H448" s="56"/>
      <c r="I448" s="12"/>
      <c r="J448" s="15"/>
      <c r="K448" s="12"/>
      <c r="L448" s="15"/>
      <c r="M448" s="14"/>
      <c r="N448" s="15"/>
      <c r="O448" s="15"/>
      <c r="P448" s="15"/>
    </row>
    <row r="449" spans="1:16" ht="16.5">
      <c r="A449" s="12"/>
      <c r="B449" s="12"/>
      <c r="C449" s="12"/>
      <c r="D449" s="13"/>
      <c r="E449" s="13"/>
      <c r="F449" s="12"/>
      <c r="G449" s="14"/>
      <c r="H449" s="56"/>
      <c r="I449" s="12"/>
      <c r="J449" s="15"/>
      <c r="K449" s="12"/>
      <c r="L449" s="15"/>
      <c r="M449" s="14"/>
      <c r="N449" s="15"/>
      <c r="O449" s="15"/>
      <c r="P449" s="15"/>
    </row>
    <row r="450" spans="1:16" ht="16.5">
      <c r="A450" s="12"/>
      <c r="B450" s="12"/>
      <c r="C450" s="12"/>
      <c r="D450" s="13"/>
      <c r="E450" s="13"/>
      <c r="F450" s="12"/>
      <c r="G450" s="14"/>
      <c r="H450" s="56"/>
      <c r="I450" s="12"/>
      <c r="J450" s="15"/>
      <c r="K450" s="12"/>
      <c r="L450" s="15"/>
      <c r="M450" s="14"/>
      <c r="N450" s="15"/>
      <c r="O450" s="15"/>
      <c r="P450" s="15"/>
    </row>
    <row r="451" spans="1:16" ht="16.5">
      <c r="A451" s="12"/>
      <c r="B451" s="12"/>
      <c r="C451" s="12"/>
      <c r="D451" s="13"/>
      <c r="E451" s="13"/>
      <c r="F451" s="12"/>
      <c r="G451" s="14"/>
      <c r="H451" s="56"/>
      <c r="I451" s="12"/>
      <c r="J451" s="15"/>
      <c r="K451" s="12"/>
      <c r="L451" s="15"/>
      <c r="M451" s="14"/>
      <c r="N451" s="15"/>
      <c r="O451" s="15"/>
      <c r="P451" s="15"/>
    </row>
    <row r="452" spans="1:16" ht="16.5">
      <c r="A452" s="12"/>
      <c r="B452" s="12"/>
      <c r="C452" s="12"/>
      <c r="D452" s="13"/>
      <c r="E452" s="13"/>
      <c r="F452" s="12"/>
      <c r="G452" s="14"/>
      <c r="H452" s="56"/>
      <c r="I452" s="12"/>
      <c r="J452" s="15"/>
      <c r="K452" s="12"/>
      <c r="L452" s="15"/>
      <c r="M452" s="14"/>
      <c r="N452" s="15"/>
      <c r="O452" s="15"/>
      <c r="P452" s="15"/>
    </row>
    <row r="453" spans="1:16" ht="16.5">
      <c r="A453" s="12"/>
      <c r="B453" s="12"/>
      <c r="C453" s="12"/>
      <c r="D453" s="13"/>
      <c r="E453" s="13"/>
      <c r="F453" s="12"/>
      <c r="G453" s="14"/>
      <c r="H453" s="56"/>
      <c r="I453" s="12"/>
      <c r="J453" s="15"/>
      <c r="K453" s="12"/>
      <c r="L453" s="15"/>
      <c r="M453" s="14"/>
      <c r="N453" s="15"/>
      <c r="O453" s="15"/>
      <c r="P453" s="15"/>
    </row>
    <row r="454" spans="1:16" ht="16.5">
      <c r="A454" s="12"/>
      <c r="B454" s="12"/>
      <c r="C454" s="12"/>
      <c r="D454" s="13"/>
      <c r="E454" s="13"/>
      <c r="F454" s="12"/>
      <c r="G454" s="14"/>
      <c r="H454" s="56"/>
      <c r="I454" s="12"/>
      <c r="J454" s="15"/>
      <c r="K454" s="12"/>
      <c r="L454" s="15"/>
      <c r="M454" s="14"/>
      <c r="N454" s="15"/>
      <c r="O454" s="15"/>
      <c r="P454" s="15"/>
    </row>
    <row r="455" spans="1:16" ht="16.5">
      <c r="A455" s="12"/>
      <c r="B455" s="12"/>
      <c r="C455" s="12"/>
      <c r="D455" s="13"/>
      <c r="E455" s="13"/>
      <c r="F455" s="12"/>
      <c r="G455" s="14"/>
      <c r="H455" s="56"/>
      <c r="I455" s="12"/>
      <c r="J455" s="15"/>
      <c r="K455" s="12"/>
      <c r="L455" s="15"/>
      <c r="M455" s="14"/>
      <c r="N455" s="15"/>
      <c r="O455" s="15"/>
      <c r="P455" s="15"/>
    </row>
    <row r="456" spans="1:16" ht="16.5">
      <c r="A456" s="12"/>
      <c r="B456" s="12"/>
      <c r="C456" s="12"/>
      <c r="D456" s="13"/>
      <c r="E456" s="13"/>
      <c r="F456" s="12"/>
      <c r="G456" s="14"/>
      <c r="H456" s="56"/>
      <c r="I456" s="12"/>
      <c r="J456" s="15"/>
      <c r="K456" s="12"/>
      <c r="L456" s="15"/>
      <c r="M456" s="14"/>
      <c r="N456" s="15"/>
      <c r="O456" s="15"/>
      <c r="P456" s="15"/>
    </row>
    <row r="457" spans="1:16" ht="16.5">
      <c r="A457" s="12"/>
      <c r="B457" s="12"/>
      <c r="C457" s="12"/>
      <c r="D457" s="13"/>
      <c r="E457" s="13"/>
      <c r="F457" s="12"/>
      <c r="G457" s="14"/>
      <c r="H457" s="56"/>
      <c r="I457" s="12"/>
      <c r="J457" s="15"/>
      <c r="K457" s="12"/>
      <c r="L457" s="15"/>
      <c r="M457" s="14"/>
      <c r="N457" s="15"/>
      <c r="O457" s="15"/>
      <c r="P457" s="15"/>
    </row>
    <row r="458" spans="1:16" ht="16.5">
      <c r="A458" s="12"/>
      <c r="B458" s="12"/>
      <c r="C458" s="12"/>
      <c r="D458" s="13"/>
      <c r="E458" s="13"/>
      <c r="F458" s="12"/>
      <c r="G458" s="14"/>
      <c r="H458" s="56"/>
      <c r="I458" s="12"/>
      <c r="J458" s="15"/>
      <c r="K458" s="12"/>
      <c r="L458" s="15"/>
      <c r="M458" s="14"/>
      <c r="N458" s="15"/>
      <c r="O458" s="15"/>
      <c r="P458" s="15"/>
    </row>
    <row r="459" spans="1:16" ht="16.5">
      <c r="A459" s="12"/>
      <c r="B459" s="12"/>
      <c r="C459" s="12"/>
      <c r="D459" s="13"/>
      <c r="E459" s="13"/>
      <c r="F459" s="12"/>
      <c r="G459" s="14"/>
      <c r="H459" s="56"/>
      <c r="I459" s="12"/>
      <c r="J459" s="15"/>
      <c r="K459" s="12"/>
      <c r="L459" s="15"/>
      <c r="M459" s="14"/>
      <c r="N459" s="15"/>
      <c r="O459" s="15"/>
      <c r="P459" s="15"/>
    </row>
    <row r="460" spans="1:16" ht="16.5">
      <c r="A460" s="12"/>
      <c r="B460" s="12"/>
      <c r="C460" s="12"/>
      <c r="D460" s="13"/>
      <c r="E460" s="13"/>
      <c r="F460" s="12"/>
      <c r="G460" s="14"/>
      <c r="H460" s="56"/>
      <c r="I460" s="12"/>
      <c r="J460" s="15"/>
      <c r="K460" s="12"/>
      <c r="L460" s="15"/>
      <c r="M460" s="14"/>
      <c r="N460" s="15"/>
      <c r="O460" s="15"/>
      <c r="P460" s="15"/>
    </row>
    <row r="461" spans="1:16" ht="16.5">
      <c r="A461" s="12"/>
      <c r="B461" s="12"/>
      <c r="C461" s="12"/>
      <c r="D461" s="13"/>
      <c r="E461" s="13"/>
      <c r="F461" s="12"/>
      <c r="G461" s="14"/>
      <c r="H461" s="56"/>
      <c r="I461" s="12"/>
      <c r="J461" s="15"/>
      <c r="K461" s="12"/>
      <c r="L461" s="15"/>
      <c r="M461" s="14"/>
      <c r="N461" s="15"/>
      <c r="O461" s="15"/>
      <c r="P461" s="15"/>
    </row>
    <row r="462" spans="1:16" ht="16.5">
      <c r="A462" s="12"/>
      <c r="B462" s="12"/>
      <c r="C462" s="12"/>
      <c r="D462" s="13"/>
      <c r="E462" s="13"/>
      <c r="F462" s="12"/>
      <c r="G462" s="14"/>
      <c r="H462" s="56"/>
      <c r="I462" s="12"/>
      <c r="J462" s="15"/>
      <c r="K462" s="12"/>
      <c r="L462" s="15"/>
      <c r="M462" s="14"/>
      <c r="N462" s="15"/>
      <c r="O462" s="15"/>
      <c r="P462" s="15"/>
    </row>
    <row r="463" spans="1:16" ht="16.5">
      <c r="A463" s="12"/>
      <c r="B463" s="12"/>
      <c r="C463" s="12"/>
      <c r="D463" s="13"/>
      <c r="E463" s="13"/>
      <c r="F463" s="12"/>
      <c r="G463" s="14"/>
      <c r="H463" s="56"/>
      <c r="I463" s="12"/>
      <c r="J463" s="15"/>
      <c r="K463" s="12"/>
      <c r="L463" s="15"/>
      <c r="M463" s="14"/>
      <c r="N463" s="15"/>
      <c r="O463" s="15"/>
      <c r="P463" s="15"/>
    </row>
    <row r="464" spans="1:16" ht="16.5">
      <c r="A464" s="12"/>
      <c r="B464" s="12"/>
      <c r="C464" s="12"/>
      <c r="D464" s="13"/>
      <c r="E464" s="13"/>
      <c r="F464" s="12"/>
      <c r="G464" s="14"/>
      <c r="H464" s="56"/>
      <c r="I464" s="12"/>
      <c r="J464" s="15"/>
      <c r="K464" s="12"/>
      <c r="L464" s="15"/>
      <c r="M464" s="14"/>
      <c r="N464" s="15"/>
      <c r="O464" s="15"/>
      <c r="P464" s="15"/>
    </row>
    <row r="465" spans="1:16" ht="16.5">
      <c r="A465" s="12"/>
      <c r="B465" s="12"/>
      <c r="C465" s="12"/>
      <c r="D465" s="13"/>
      <c r="E465" s="13"/>
      <c r="F465" s="12"/>
      <c r="G465" s="14"/>
      <c r="H465" s="56"/>
      <c r="I465" s="12"/>
      <c r="J465" s="15"/>
      <c r="K465" s="12"/>
      <c r="L465" s="15"/>
      <c r="M465" s="14"/>
      <c r="N465" s="15"/>
      <c r="O465" s="15"/>
      <c r="P465" s="15"/>
    </row>
    <row r="466" spans="1:16" ht="16.5">
      <c r="A466" s="12"/>
      <c r="B466" s="12"/>
      <c r="C466" s="12"/>
      <c r="D466" s="13"/>
      <c r="E466" s="13"/>
      <c r="F466" s="12"/>
      <c r="G466" s="14"/>
      <c r="H466" s="56"/>
      <c r="I466" s="12"/>
      <c r="J466" s="15"/>
      <c r="K466" s="12"/>
      <c r="L466" s="15"/>
      <c r="M466" s="14"/>
      <c r="N466" s="15"/>
      <c r="O466" s="15"/>
      <c r="P466" s="15"/>
    </row>
    <row r="467" spans="1:16" ht="16.5">
      <c r="A467" s="12"/>
      <c r="B467" s="12"/>
      <c r="C467" s="12"/>
      <c r="D467" s="13"/>
      <c r="E467" s="13"/>
      <c r="F467" s="12"/>
      <c r="G467" s="14"/>
      <c r="H467" s="56"/>
      <c r="I467" s="12"/>
      <c r="J467" s="15"/>
      <c r="K467" s="12"/>
      <c r="L467" s="15"/>
      <c r="M467" s="14"/>
      <c r="N467" s="15"/>
      <c r="O467" s="15"/>
      <c r="P467" s="15"/>
    </row>
    <row r="468" spans="1:16" ht="16.5">
      <c r="A468" s="12"/>
      <c r="B468" s="12"/>
      <c r="C468" s="12"/>
      <c r="D468" s="13"/>
      <c r="E468" s="13"/>
      <c r="F468" s="12"/>
      <c r="G468" s="14"/>
      <c r="H468" s="56"/>
      <c r="I468" s="12"/>
      <c r="J468" s="15"/>
      <c r="K468" s="12"/>
      <c r="L468" s="15"/>
      <c r="M468" s="14"/>
      <c r="N468" s="15"/>
      <c r="O468" s="15"/>
      <c r="P468" s="15"/>
    </row>
    <row r="469" spans="1:16" ht="16.5">
      <c r="A469" s="12"/>
      <c r="B469" s="12"/>
      <c r="C469" s="12"/>
      <c r="D469" s="13"/>
      <c r="E469" s="13"/>
      <c r="F469" s="12"/>
      <c r="G469" s="14"/>
      <c r="H469" s="56"/>
      <c r="I469" s="12"/>
      <c r="J469" s="15"/>
      <c r="K469" s="12"/>
      <c r="L469" s="15"/>
      <c r="M469" s="14"/>
      <c r="N469" s="15"/>
      <c r="O469" s="15"/>
      <c r="P469" s="15"/>
    </row>
    <row r="470" spans="1:16" ht="16.5">
      <c r="A470" s="12"/>
      <c r="B470" s="12"/>
      <c r="C470" s="12"/>
      <c r="D470" s="13"/>
      <c r="E470" s="13"/>
      <c r="F470" s="12"/>
      <c r="G470" s="14"/>
      <c r="H470" s="56"/>
      <c r="I470" s="12"/>
      <c r="J470" s="15"/>
      <c r="K470" s="12"/>
      <c r="L470" s="15"/>
      <c r="M470" s="14"/>
      <c r="N470" s="15"/>
      <c r="O470" s="15"/>
      <c r="P470" s="15"/>
    </row>
    <row r="471" spans="1:16" ht="16.5">
      <c r="A471" s="12"/>
      <c r="B471" s="12"/>
      <c r="C471" s="12"/>
      <c r="D471" s="13"/>
      <c r="E471" s="13"/>
      <c r="F471" s="12"/>
      <c r="G471" s="14"/>
      <c r="H471" s="56"/>
      <c r="I471" s="12"/>
      <c r="J471" s="15"/>
      <c r="K471" s="12"/>
      <c r="L471" s="15"/>
      <c r="M471" s="14"/>
      <c r="N471" s="15"/>
      <c r="O471" s="15"/>
      <c r="P471" s="15"/>
    </row>
    <row r="472" spans="1:16" ht="16.5">
      <c r="A472" s="12"/>
      <c r="B472" s="12"/>
      <c r="C472" s="12"/>
      <c r="D472" s="13"/>
      <c r="E472" s="13"/>
      <c r="F472" s="12"/>
      <c r="G472" s="14"/>
      <c r="H472" s="56"/>
      <c r="I472" s="12"/>
      <c r="J472" s="15"/>
      <c r="K472" s="12"/>
      <c r="L472" s="15"/>
      <c r="M472" s="14"/>
      <c r="N472" s="15"/>
      <c r="O472" s="15"/>
      <c r="P472" s="15"/>
    </row>
    <row r="473" spans="1:16" ht="16.5">
      <c r="A473" s="12"/>
      <c r="B473" s="12"/>
      <c r="C473" s="12"/>
      <c r="D473" s="13"/>
      <c r="E473" s="13"/>
      <c r="F473" s="12"/>
      <c r="G473" s="14"/>
      <c r="H473" s="56"/>
      <c r="I473" s="12"/>
      <c r="J473" s="15"/>
      <c r="K473" s="12"/>
      <c r="L473" s="15"/>
      <c r="M473" s="14"/>
      <c r="N473" s="15"/>
      <c r="O473" s="15"/>
      <c r="P473" s="15"/>
    </row>
    <row r="474" spans="1:16" ht="16.5">
      <c r="A474" s="12"/>
      <c r="B474" s="12"/>
      <c r="C474" s="12"/>
      <c r="D474" s="13"/>
      <c r="E474" s="13"/>
      <c r="F474" s="12"/>
      <c r="G474" s="14"/>
      <c r="H474" s="56"/>
      <c r="I474" s="12"/>
      <c r="J474" s="15"/>
      <c r="K474" s="12"/>
      <c r="L474" s="15"/>
      <c r="M474" s="14"/>
      <c r="N474" s="15"/>
      <c r="O474" s="15"/>
      <c r="P474" s="15"/>
    </row>
    <row r="475" spans="1:16" ht="16.5">
      <c r="A475" s="12"/>
      <c r="B475" s="12"/>
      <c r="C475" s="12"/>
      <c r="D475" s="13"/>
      <c r="E475" s="13"/>
      <c r="F475" s="12"/>
      <c r="G475" s="14"/>
      <c r="H475" s="56"/>
      <c r="I475" s="12"/>
      <c r="J475" s="15"/>
      <c r="K475" s="12"/>
      <c r="L475" s="15"/>
      <c r="M475" s="14"/>
      <c r="N475" s="15"/>
      <c r="O475" s="15"/>
      <c r="P475" s="15"/>
    </row>
    <row r="476" spans="1:16" ht="16.5">
      <c r="A476" s="12"/>
      <c r="B476" s="12"/>
      <c r="C476" s="12"/>
      <c r="D476" s="13"/>
      <c r="E476" s="13"/>
      <c r="F476" s="12"/>
      <c r="G476" s="14"/>
      <c r="H476" s="56"/>
      <c r="I476" s="12"/>
      <c r="J476" s="15"/>
      <c r="K476" s="12"/>
      <c r="L476" s="15"/>
      <c r="M476" s="14"/>
      <c r="N476" s="15"/>
      <c r="O476" s="15"/>
      <c r="P476" s="15"/>
    </row>
    <row r="477" spans="1:16" ht="16.5">
      <c r="A477" s="12"/>
      <c r="B477" s="12"/>
      <c r="C477" s="12"/>
      <c r="D477" s="13"/>
      <c r="E477" s="13"/>
      <c r="F477" s="12"/>
      <c r="G477" s="14"/>
      <c r="H477" s="56"/>
      <c r="I477" s="12"/>
      <c r="J477" s="15"/>
      <c r="K477" s="12"/>
      <c r="L477" s="15"/>
      <c r="M477" s="14"/>
      <c r="N477" s="15"/>
      <c r="O477" s="15"/>
      <c r="P477" s="15"/>
    </row>
    <row r="478" spans="1:16" ht="16.5">
      <c r="A478" s="12"/>
      <c r="B478" s="12"/>
      <c r="C478" s="12"/>
      <c r="D478" s="13"/>
      <c r="E478" s="13"/>
      <c r="F478" s="12"/>
      <c r="G478" s="14"/>
      <c r="H478" s="56"/>
      <c r="I478" s="12"/>
      <c r="J478" s="15"/>
      <c r="K478" s="12"/>
      <c r="L478" s="15"/>
      <c r="M478" s="14"/>
      <c r="N478" s="15"/>
      <c r="O478" s="15"/>
      <c r="P478" s="15"/>
    </row>
    <row r="479" spans="1:16" ht="16.5">
      <c r="A479" s="12"/>
      <c r="B479" s="12"/>
      <c r="C479" s="12"/>
      <c r="D479" s="13"/>
      <c r="E479" s="13"/>
      <c r="F479" s="12"/>
      <c r="G479" s="14"/>
      <c r="H479" s="56"/>
      <c r="I479" s="12"/>
      <c r="J479" s="15"/>
      <c r="K479" s="12"/>
      <c r="L479" s="15"/>
      <c r="M479" s="14"/>
      <c r="N479" s="15"/>
      <c r="O479" s="15"/>
      <c r="P479" s="15"/>
    </row>
    <row r="480" spans="1:16" ht="16.5">
      <c r="A480" s="12"/>
      <c r="B480" s="12"/>
      <c r="C480" s="12"/>
      <c r="D480" s="13"/>
      <c r="E480" s="13"/>
      <c r="F480" s="12"/>
      <c r="G480" s="14"/>
      <c r="H480" s="56"/>
      <c r="I480" s="12"/>
      <c r="J480" s="15"/>
      <c r="K480" s="12"/>
      <c r="L480" s="15"/>
      <c r="M480" s="14"/>
      <c r="N480" s="15"/>
      <c r="O480" s="15"/>
      <c r="P480" s="15"/>
    </row>
    <row r="481" spans="1:16" ht="16.5">
      <c r="A481" s="12"/>
      <c r="B481" s="12"/>
      <c r="C481" s="12"/>
      <c r="D481" s="13"/>
      <c r="E481" s="13"/>
      <c r="F481" s="12"/>
      <c r="G481" s="14"/>
      <c r="H481" s="56"/>
      <c r="I481" s="12"/>
      <c r="J481" s="15"/>
      <c r="K481" s="12"/>
      <c r="L481" s="15"/>
      <c r="M481" s="14"/>
      <c r="N481" s="15"/>
      <c r="O481" s="15"/>
      <c r="P481" s="15"/>
    </row>
    <row r="482" spans="1:16" ht="16.5">
      <c r="A482" s="12"/>
      <c r="B482" s="12"/>
      <c r="C482" s="12"/>
      <c r="D482" s="13"/>
      <c r="E482" s="13"/>
      <c r="F482" s="12"/>
      <c r="G482" s="14"/>
      <c r="H482" s="56"/>
      <c r="I482" s="12"/>
      <c r="J482" s="15"/>
      <c r="K482" s="12"/>
      <c r="L482" s="15"/>
      <c r="M482" s="14"/>
      <c r="N482" s="15"/>
      <c r="O482" s="15"/>
      <c r="P482" s="15"/>
    </row>
    <row r="483" spans="1:16" ht="16.5">
      <c r="A483" s="12"/>
      <c r="B483" s="12"/>
      <c r="C483" s="12"/>
      <c r="D483" s="13"/>
      <c r="E483" s="13"/>
      <c r="F483" s="12"/>
      <c r="G483" s="14"/>
      <c r="H483" s="56"/>
      <c r="I483" s="12"/>
      <c r="J483" s="15"/>
      <c r="K483" s="12"/>
      <c r="L483" s="15"/>
      <c r="M483" s="14"/>
      <c r="N483" s="15"/>
      <c r="O483" s="15"/>
      <c r="P483" s="15"/>
    </row>
    <row r="484" spans="1:16" ht="16.5">
      <c r="A484" s="12"/>
      <c r="B484" s="12"/>
      <c r="C484" s="12"/>
      <c r="D484" s="13"/>
      <c r="E484" s="13"/>
      <c r="F484" s="12"/>
      <c r="G484" s="14"/>
      <c r="H484" s="56"/>
      <c r="I484" s="12"/>
      <c r="J484" s="15"/>
      <c r="K484" s="12"/>
      <c r="L484" s="15"/>
      <c r="M484" s="14"/>
      <c r="N484" s="15"/>
      <c r="O484" s="15"/>
      <c r="P484" s="15"/>
    </row>
    <row r="485" spans="1:16" ht="16.5">
      <c r="A485" s="12"/>
      <c r="B485" s="12"/>
      <c r="C485" s="12"/>
      <c r="D485" s="13"/>
      <c r="E485" s="13"/>
      <c r="F485" s="12"/>
      <c r="G485" s="14"/>
      <c r="H485" s="56"/>
      <c r="I485" s="12"/>
      <c r="J485" s="15"/>
      <c r="K485" s="12"/>
      <c r="L485" s="15"/>
      <c r="M485" s="14"/>
      <c r="N485" s="15"/>
      <c r="O485" s="15"/>
      <c r="P485" s="15"/>
    </row>
    <row r="486" spans="1:16" ht="16.5">
      <c r="A486" s="12"/>
      <c r="B486" s="12"/>
      <c r="C486" s="12"/>
      <c r="D486" s="13"/>
      <c r="E486" s="13"/>
      <c r="F486" s="12"/>
      <c r="G486" s="14"/>
      <c r="H486" s="56"/>
      <c r="I486" s="12"/>
      <c r="J486" s="15"/>
      <c r="K486" s="12"/>
      <c r="L486" s="15"/>
      <c r="M486" s="14"/>
      <c r="N486" s="15"/>
      <c r="O486" s="15"/>
      <c r="P486" s="15"/>
    </row>
    <row r="487" spans="1:16" ht="16.5">
      <c r="A487" s="12"/>
      <c r="B487" s="12"/>
      <c r="C487" s="12"/>
      <c r="D487" s="13"/>
      <c r="E487" s="13"/>
      <c r="F487" s="12"/>
      <c r="G487" s="14"/>
      <c r="H487" s="56"/>
      <c r="I487" s="12"/>
      <c r="J487" s="15"/>
      <c r="K487" s="12"/>
      <c r="L487" s="15"/>
      <c r="M487" s="14"/>
      <c r="N487" s="15"/>
      <c r="O487" s="15"/>
      <c r="P487" s="15"/>
    </row>
    <row r="488" spans="1:16" ht="16.5">
      <c r="A488" s="12"/>
      <c r="B488" s="12"/>
      <c r="C488" s="12"/>
      <c r="D488" s="13"/>
      <c r="E488" s="13"/>
      <c r="F488" s="12"/>
      <c r="G488" s="14"/>
      <c r="H488" s="56"/>
      <c r="I488" s="12"/>
      <c r="J488" s="15"/>
      <c r="K488" s="12"/>
      <c r="L488" s="15"/>
      <c r="M488" s="14"/>
      <c r="N488" s="15"/>
      <c r="O488" s="15"/>
      <c r="P488" s="15"/>
    </row>
    <row r="489" spans="1:16" ht="16.5">
      <c r="A489" s="12"/>
      <c r="B489" s="12"/>
      <c r="C489" s="12"/>
      <c r="D489" s="13"/>
      <c r="E489" s="13"/>
      <c r="F489" s="12"/>
      <c r="G489" s="14"/>
      <c r="H489" s="56"/>
      <c r="I489" s="12"/>
      <c r="J489" s="15"/>
      <c r="K489" s="12"/>
      <c r="L489" s="15"/>
      <c r="M489" s="14"/>
      <c r="N489" s="15"/>
      <c r="O489" s="15"/>
      <c r="P489" s="15"/>
    </row>
    <row r="490" spans="1:16" ht="16.5">
      <c r="A490" s="12"/>
      <c r="B490" s="12"/>
      <c r="C490" s="12"/>
      <c r="D490" s="13"/>
      <c r="E490" s="13"/>
      <c r="F490" s="12"/>
      <c r="G490" s="14"/>
      <c r="H490" s="56"/>
      <c r="I490" s="12"/>
      <c r="J490" s="15"/>
      <c r="K490" s="12"/>
      <c r="L490" s="15"/>
      <c r="M490" s="14"/>
      <c r="N490" s="15"/>
      <c r="O490" s="15"/>
      <c r="P490" s="15"/>
    </row>
    <row r="491" spans="1:16" ht="16.5">
      <c r="A491" s="12"/>
      <c r="B491" s="12"/>
      <c r="C491" s="12"/>
      <c r="D491" s="13"/>
      <c r="E491" s="13"/>
      <c r="F491" s="12"/>
      <c r="G491" s="14"/>
      <c r="H491" s="56"/>
      <c r="I491" s="12"/>
      <c r="J491" s="15"/>
      <c r="K491" s="12"/>
      <c r="L491" s="15"/>
      <c r="M491" s="14"/>
      <c r="N491" s="15"/>
      <c r="O491" s="15"/>
      <c r="P491" s="15"/>
    </row>
    <row r="492" spans="1:16" ht="16.5">
      <c r="A492" s="12"/>
      <c r="B492" s="12"/>
      <c r="C492" s="12"/>
      <c r="D492" s="13"/>
      <c r="E492" s="13"/>
      <c r="F492" s="12"/>
      <c r="G492" s="14"/>
      <c r="H492" s="56"/>
      <c r="I492" s="12"/>
      <c r="J492" s="15"/>
      <c r="K492" s="12"/>
      <c r="L492" s="15"/>
      <c r="M492" s="14"/>
      <c r="N492" s="15"/>
      <c r="O492" s="15"/>
      <c r="P492" s="15"/>
    </row>
    <row r="493" spans="1:16" ht="16.5">
      <c r="A493" s="12"/>
      <c r="B493" s="12"/>
      <c r="C493" s="12"/>
      <c r="D493" s="13"/>
      <c r="E493" s="13"/>
      <c r="F493" s="12"/>
      <c r="G493" s="14"/>
      <c r="H493" s="56"/>
      <c r="I493" s="12"/>
      <c r="J493" s="15"/>
      <c r="K493" s="12"/>
      <c r="L493" s="15"/>
      <c r="M493" s="14"/>
      <c r="N493" s="15"/>
      <c r="O493" s="15"/>
      <c r="P493" s="15"/>
    </row>
    <row r="494" spans="1:16" ht="16.5">
      <c r="A494" s="12"/>
      <c r="B494" s="12"/>
      <c r="C494" s="12"/>
      <c r="D494" s="13"/>
      <c r="E494" s="13"/>
      <c r="F494" s="12"/>
      <c r="G494" s="14"/>
      <c r="H494" s="56"/>
      <c r="I494" s="12"/>
      <c r="J494" s="15"/>
      <c r="K494" s="12"/>
      <c r="L494" s="15"/>
      <c r="M494" s="14"/>
      <c r="N494" s="15"/>
      <c r="O494" s="15"/>
      <c r="P494" s="15"/>
    </row>
    <row r="495" spans="1:16" ht="16.5">
      <c r="A495" s="12"/>
      <c r="B495" s="12"/>
      <c r="C495" s="12"/>
      <c r="D495" s="13"/>
      <c r="E495" s="13"/>
      <c r="F495" s="12"/>
      <c r="G495" s="14"/>
      <c r="H495" s="56"/>
      <c r="I495" s="12"/>
      <c r="J495" s="15"/>
      <c r="K495" s="12"/>
      <c r="L495" s="15"/>
      <c r="M495" s="14"/>
      <c r="N495" s="15"/>
      <c r="O495" s="15"/>
      <c r="P495" s="15"/>
    </row>
    <row r="496" spans="1:16" ht="16.5">
      <c r="A496" s="12"/>
      <c r="B496" s="12"/>
      <c r="C496" s="12"/>
      <c r="D496" s="13"/>
      <c r="E496" s="13"/>
      <c r="F496" s="12"/>
      <c r="G496" s="14"/>
      <c r="H496" s="56"/>
      <c r="I496" s="12"/>
      <c r="J496" s="15"/>
      <c r="K496" s="12"/>
      <c r="L496" s="15"/>
      <c r="M496" s="14"/>
      <c r="N496" s="15"/>
      <c r="O496" s="15"/>
      <c r="P496" s="15"/>
    </row>
    <row r="497" spans="1:16" ht="16.5">
      <c r="A497" s="12"/>
      <c r="B497" s="12"/>
      <c r="C497" s="12"/>
      <c r="D497" s="13"/>
      <c r="E497" s="13"/>
      <c r="F497" s="12"/>
      <c r="G497" s="14"/>
      <c r="H497" s="56"/>
      <c r="I497" s="12"/>
      <c r="J497" s="15"/>
      <c r="K497" s="12"/>
      <c r="L497" s="15"/>
      <c r="M497" s="14"/>
      <c r="N497" s="15"/>
      <c r="O497" s="15"/>
      <c r="P497" s="15"/>
    </row>
    <row r="498" spans="1:16" ht="16.5">
      <c r="A498" s="12"/>
      <c r="B498" s="12"/>
      <c r="C498" s="12"/>
      <c r="D498" s="13"/>
      <c r="E498" s="13"/>
      <c r="F498" s="12"/>
      <c r="G498" s="14"/>
      <c r="H498" s="56"/>
      <c r="I498" s="12"/>
      <c r="J498" s="15"/>
      <c r="K498" s="12"/>
      <c r="L498" s="15"/>
      <c r="M498" s="14"/>
      <c r="N498" s="15"/>
      <c r="O498" s="15"/>
      <c r="P498" s="15"/>
    </row>
    <row r="499" spans="1:16" ht="16.5">
      <c r="A499" s="12"/>
      <c r="B499" s="12"/>
      <c r="C499" s="12"/>
      <c r="D499" s="13"/>
      <c r="E499" s="13"/>
      <c r="F499" s="12"/>
      <c r="G499" s="14"/>
      <c r="H499" s="56"/>
      <c r="I499" s="12"/>
      <c r="J499" s="15"/>
      <c r="K499" s="12"/>
      <c r="L499" s="15"/>
      <c r="M499" s="14"/>
      <c r="N499" s="15"/>
      <c r="O499" s="15"/>
      <c r="P499" s="15"/>
    </row>
    <row r="500" spans="1:16" ht="16.5">
      <c r="A500" s="12"/>
      <c r="B500" s="12"/>
      <c r="C500" s="12"/>
      <c r="D500" s="13"/>
      <c r="E500" s="13"/>
      <c r="F500" s="12"/>
      <c r="G500" s="14"/>
      <c r="H500" s="56"/>
      <c r="I500" s="12"/>
      <c r="J500" s="15"/>
      <c r="K500" s="12"/>
      <c r="L500" s="15"/>
      <c r="M500" s="14"/>
      <c r="N500" s="15"/>
      <c r="O500" s="15"/>
      <c r="P500" s="15"/>
    </row>
    <row r="501" spans="1:16" ht="16.5">
      <c r="A501" s="12"/>
      <c r="B501" s="12"/>
      <c r="C501" s="12"/>
      <c r="D501" s="13"/>
      <c r="E501" s="13"/>
      <c r="F501" s="12"/>
      <c r="G501" s="14"/>
      <c r="H501" s="56"/>
      <c r="I501" s="12"/>
      <c r="J501" s="15"/>
      <c r="K501" s="12"/>
      <c r="L501" s="15"/>
      <c r="M501" s="14"/>
      <c r="N501" s="15"/>
      <c r="O501" s="15"/>
      <c r="P501" s="15"/>
    </row>
    <row r="502" spans="1:16" ht="16.5">
      <c r="A502" s="12"/>
      <c r="B502" s="12"/>
      <c r="C502" s="12"/>
      <c r="D502" s="13"/>
      <c r="E502" s="13"/>
      <c r="F502" s="12"/>
      <c r="G502" s="14"/>
      <c r="H502" s="56"/>
      <c r="I502" s="12"/>
      <c r="J502" s="15"/>
      <c r="K502" s="12"/>
      <c r="L502" s="15"/>
      <c r="M502" s="14"/>
      <c r="N502" s="15"/>
      <c r="O502" s="15"/>
      <c r="P502" s="15"/>
    </row>
    <row r="503" spans="1:16" ht="16.5">
      <c r="A503" s="12"/>
      <c r="B503" s="12"/>
      <c r="C503" s="12"/>
      <c r="D503" s="13"/>
      <c r="E503" s="13"/>
      <c r="F503" s="12"/>
      <c r="G503" s="14"/>
      <c r="H503" s="56"/>
      <c r="I503" s="12"/>
      <c r="J503" s="15"/>
      <c r="K503" s="12"/>
      <c r="L503" s="15"/>
      <c r="M503" s="14"/>
      <c r="N503" s="15"/>
      <c r="O503" s="15"/>
      <c r="P503" s="15"/>
    </row>
    <row r="504" spans="1:16" ht="16.5">
      <c r="A504" s="12"/>
      <c r="B504" s="12"/>
      <c r="C504" s="12"/>
      <c r="D504" s="13"/>
      <c r="E504" s="13"/>
      <c r="F504" s="12"/>
      <c r="G504" s="14"/>
      <c r="H504" s="56"/>
      <c r="I504" s="12"/>
      <c r="J504" s="15"/>
      <c r="K504" s="12"/>
      <c r="L504" s="15"/>
      <c r="M504" s="14"/>
      <c r="N504" s="15"/>
      <c r="O504" s="15"/>
      <c r="P504" s="15"/>
    </row>
    <row r="505" spans="1:16" ht="16.5">
      <c r="A505" s="12"/>
      <c r="B505" s="12"/>
      <c r="C505" s="12"/>
      <c r="D505" s="13"/>
      <c r="E505" s="13"/>
      <c r="F505" s="12"/>
      <c r="G505" s="14"/>
      <c r="H505" s="56"/>
      <c r="I505" s="12"/>
      <c r="J505" s="15"/>
      <c r="K505" s="12"/>
      <c r="L505" s="15"/>
      <c r="M505" s="14"/>
      <c r="N505" s="15"/>
      <c r="O505" s="15"/>
      <c r="P505" s="15"/>
    </row>
    <row r="506" spans="1:16" ht="16.5">
      <c r="A506" s="12"/>
      <c r="B506" s="12"/>
      <c r="C506" s="12"/>
      <c r="D506" s="13"/>
      <c r="E506" s="13"/>
      <c r="F506" s="12"/>
      <c r="G506" s="14"/>
      <c r="H506" s="56"/>
      <c r="I506" s="12"/>
      <c r="J506" s="15"/>
      <c r="K506" s="12"/>
      <c r="L506" s="15"/>
      <c r="M506" s="14"/>
      <c r="N506" s="15"/>
      <c r="O506" s="15"/>
      <c r="P506" s="15"/>
    </row>
    <row r="507" spans="1:16" ht="16.5">
      <c r="A507" s="12"/>
      <c r="B507" s="12"/>
      <c r="C507" s="12"/>
      <c r="D507" s="13"/>
      <c r="E507" s="13"/>
      <c r="F507" s="12"/>
      <c r="G507" s="14"/>
      <c r="H507" s="56"/>
      <c r="I507" s="12"/>
      <c r="J507" s="15"/>
      <c r="K507" s="12"/>
      <c r="L507" s="15"/>
      <c r="M507" s="14"/>
      <c r="N507" s="15"/>
      <c r="O507" s="15"/>
      <c r="P507" s="15"/>
    </row>
    <row r="508" spans="1:16" ht="16.5">
      <c r="A508" s="12"/>
      <c r="B508" s="12"/>
      <c r="C508" s="12"/>
      <c r="D508" s="13"/>
      <c r="E508" s="13"/>
      <c r="F508" s="12"/>
      <c r="G508" s="14"/>
      <c r="H508" s="56"/>
      <c r="I508" s="12"/>
      <c r="J508" s="15"/>
      <c r="K508" s="12"/>
      <c r="L508" s="15"/>
      <c r="M508" s="14"/>
      <c r="N508" s="15"/>
      <c r="O508" s="15"/>
      <c r="P508" s="15"/>
    </row>
    <row r="509" spans="1:16" ht="16.5">
      <c r="A509" s="12"/>
      <c r="B509" s="12"/>
      <c r="C509" s="12"/>
      <c r="D509" s="13"/>
      <c r="E509" s="13"/>
      <c r="F509" s="12"/>
      <c r="G509" s="14"/>
      <c r="H509" s="56"/>
      <c r="I509" s="12"/>
      <c r="J509" s="15"/>
      <c r="K509" s="12"/>
      <c r="L509" s="15"/>
      <c r="M509" s="14"/>
      <c r="N509" s="15"/>
      <c r="O509" s="15"/>
      <c r="P509" s="15"/>
    </row>
    <row r="510" spans="1:16" ht="16.5">
      <c r="A510" s="12"/>
      <c r="B510" s="12"/>
      <c r="C510" s="12"/>
      <c r="D510" s="13"/>
      <c r="E510" s="13"/>
      <c r="F510" s="12"/>
      <c r="G510" s="14"/>
      <c r="H510" s="56"/>
      <c r="I510" s="12"/>
      <c r="J510" s="15"/>
      <c r="K510" s="12"/>
      <c r="L510" s="15"/>
      <c r="M510" s="14"/>
      <c r="N510" s="15"/>
      <c r="O510" s="15"/>
      <c r="P510" s="15"/>
    </row>
    <row r="511" spans="1:16" ht="16.5">
      <c r="A511" s="12"/>
      <c r="B511" s="12"/>
      <c r="C511" s="12"/>
      <c r="D511" s="13"/>
      <c r="E511" s="13"/>
      <c r="F511" s="12"/>
      <c r="G511" s="14"/>
      <c r="H511" s="56"/>
      <c r="I511" s="12"/>
      <c r="J511" s="15"/>
      <c r="K511" s="12"/>
      <c r="L511" s="15"/>
      <c r="M511" s="14"/>
      <c r="N511" s="15"/>
      <c r="O511" s="15"/>
      <c r="P511" s="15"/>
    </row>
    <row r="512" spans="1:16" ht="16.5">
      <c r="A512" s="12"/>
      <c r="B512" s="12"/>
      <c r="C512" s="12"/>
      <c r="D512" s="13"/>
      <c r="E512" s="13"/>
      <c r="F512" s="12"/>
      <c r="G512" s="14"/>
      <c r="H512" s="56"/>
      <c r="I512" s="12"/>
      <c r="J512" s="15"/>
      <c r="K512" s="12"/>
      <c r="L512" s="15"/>
      <c r="M512" s="14"/>
      <c r="N512" s="15"/>
      <c r="O512" s="15"/>
      <c r="P512" s="15"/>
    </row>
    <row r="513" spans="1:16" ht="16.5">
      <c r="A513" s="12"/>
      <c r="B513" s="12"/>
      <c r="C513" s="12"/>
      <c r="D513" s="13"/>
      <c r="E513" s="13"/>
      <c r="F513" s="12"/>
      <c r="G513" s="14"/>
      <c r="H513" s="56"/>
      <c r="I513" s="12"/>
      <c r="J513" s="15"/>
      <c r="K513" s="12"/>
      <c r="L513" s="15"/>
      <c r="M513" s="14"/>
      <c r="N513" s="15"/>
      <c r="O513" s="15"/>
      <c r="P513" s="15"/>
    </row>
    <row r="514" spans="1:16" ht="16.5">
      <c r="A514" s="12"/>
      <c r="B514" s="12"/>
      <c r="C514" s="12"/>
      <c r="D514" s="13"/>
      <c r="E514" s="13"/>
      <c r="F514" s="12"/>
      <c r="G514" s="14"/>
      <c r="H514" s="56"/>
      <c r="I514" s="12"/>
      <c r="J514" s="15"/>
      <c r="K514" s="12"/>
      <c r="L514" s="15"/>
      <c r="M514" s="14"/>
      <c r="N514" s="15"/>
      <c r="O514" s="15"/>
      <c r="P514" s="15"/>
    </row>
    <row r="515" spans="1:16" ht="16.5">
      <c r="A515" s="12"/>
      <c r="B515" s="12"/>
      <c r="C515" s="12"/>
      <c r="D515" s="13"/>
      <c r="E515" s="13"/>
      <c r="F515" s="12"/>
      <c r="G515" s="14"/>
      <c r="H515" s="56"/>
      <c r="I515" s="12"/>
      <c r="J515" s="15"/>
      <c r="K515" s="12"/>
      <c r="L515" s="15"/>
      <c r="M515" s="14"/>
      <c r="N515" s="15"/>
      <c r="O515" s="15"/>
      <c r="P515" s="15"/>
    </row>
    <row r="516" spans="1:16" ht="16.5">
      <c r="A516" s="12"/>
      <c r="B516" s="12"/>
      <c r="C516" s="12"/>
      <c r="D516" s="13"/>
      <c r="E516" s="13"/>
      <c r="F516" s="12"/>
      <c r="G516" s="14"/>
      <c r="H516" s="56"/>
      <c r="I516" s="12"/>
      <c r="J516" s="15"/>
      <c r="K516" s="12"/>
      <c r="L516" s="15"/>
      <c r="M516" s="14"/>
      <c r="N516" s="15"/>
      <c r="O516" s="15"/>
      <c r="P516" s="15"/>
    </row>
    <row r="517" spans="1:16" ht="16.5">
      <c r="A517" s="12"/>
      <c r="B517" s="12"/>
      <c r="C517" s="12"/>
      <c r="D517" s="13"/>
      <c r="E517" s="13"/>
      <c r="F517" s="12"/>
      <c r="G517" s="14"/>
      <c r="H517" s="56"/>
      <c r="I517" s="12"/>
      <c r="J517" s="15"/>
      <c r="K517" s="12"/>
      <c r="L517" s="15"/>
      <c r="M517" s="14"/>
      <c r="N517" s="15"/>
      <c r="O517" s="15"/>
      <c r="P517" s="15"/>
    </row>
    <row r="518" spans="1:16" ht="16.5">
      <c r="A518" s="12"/>
      <c r="B518" s="12"/>
      <c r="C518" s="12"/>
      <c r="D518" s="13"/>
      <c r="E518" s="13"/>
      <c r="F518" s="12"/>
      <c r="G518" s="14"/>
      <c r="H518" s="56"/>
      <c r="I518" s="12"/>
      <c r="J518" s="15"/>
      <c r="K518" s="12"/>
      <c r="L518" s="15"/>
      <c r="M518" s="14"/>
      <c r="N518" s="15"/>
      <c r="O518" s="15"/>
      <c r="P518" s="15"/>
    </row>
    <row r="519" spans="1:16" ht="16.5">
      <c r="A519" s="12"/>
      <c r="B519" s="12"/>
      <c r="C519" s="12"/>
      <c r="D519" s="13"/>
      <c r="E519" s="13"/>
      <c r="F519" s="12"/>
      <c r="G519" s="14"/>
      <c r="H519" s="56"/>
      <c r="I519" s="12"/>
      <c r="J519" s="15"/>
      <c r="K519" s="12"/>
      <c r="L519" s="15"/>
      <c r="M519" s="14"/>
      <c r="N519" s="15"/>
      <c r="O519" s="15"/>
      <c r="P519" s="15"/>
    </row>
    <row r="520" spans="1:16" ht="16.5">
      <c r="A520" s="12"/>
      <c r="B520" s="12"/>
      <c r="C520" s="12"/>
      <c r="D520" s="13"/>
      <c r="E520" s="13"/>
      <c r="F520" s="12"/>
      <c r="G520" s="14"/>
      <c r="H520" s="56"/>
      <c r="I520" s="12"/>
      <c r="J520" s="15"/>
      <c r="K520" s="12"/>
      <c r="L520" s="15"/>
      <c r="M520" s="14"/>
      <c r="N520" s="15"/>
      <c r="O520" s="15"/>
      <c r="P520" s="15"/>
    </row>
    <row r="521" spans="1:16" ht="16.5">
      <c r="A521" s="12"/>
      <c r="B521" s="12"/>
      <c r="C521" s="12"/>
      <c r="D521" s="13"/>
      <c r="E521" s="13"/>
      <c r="F521" s="12"/>
      <c r="G521" s="14"/>
      <c r="H521" s="56"/>
      <c r="I521" s="12"/>
      <c r="J521" s="15"/>
      <c r="K521" s="12"/>
      <c r="L521" s="15"/>
      <c r="M521" s="14"/>
      <c r="N521" s="15"/>
      <c r="O521" s="15"/>
      <c r="P521" s="15"/>
    </row>
    <row r="522" spans="1:16" ht="16.5">
      <c r="A522" s="12"/>
      <c r="B522" s="12"/>
      <c r="C522" s="12"/>
      <c r="D522" s="13"/>
      <c r="E522" s="13"/>
      <c r="F522" s="12"/>
      <c r="G522" s="14"/>
      <c r="H522" s="56"/>
      <c r="I522" s="12"/>
      <c r="J522" s="15"/>
      <c r="K522" s="12"/>
      <c r="L522" s="15"/>
      <c r="M522" s="14"/>
      <c r="N522" s="15"/>
      <c r="O522" s="15"/>
      <c r="P522" s="15"/>
    </row>
    <row r="523" spans="1:16" ht="16.5">
      <c r="A523" s="12"/>
      <c r="B523" s="12"/>
      <c r="C523" s="12"/>
      <c r="D523" s="13"/>
      <c r="E523" s="13"/>
      <c r="F523" s="12"/>
      <c r="G523" s="14"/>
      <c r="H523" s="56"/>
      <c r="I523" s="12"/>
      <c r="J523" s="15"/>
      <c r="K523" s="12"/>
      <c r="L523" s="15"/>
      <c r="M523" s="14"/>
      <c r="N523" s="15"/>
      <c r="O523" s="15"/>
      <c r="P523" s="15"/>
    </row>
    <row r="524" spans="1:16" ht="16.5">
      <c r="A524" s="12"/>
      <c r="B524" s="12"/>
      <c r="C524" s="12"/>
      <c r="D524" s="13"/>
      <c r="E524" s="13"/>
      <c r="F524" s="12"/>
      <c r="G524" s="14"/>
      <c r="H524" s="56"/>
      <c r="I524" s="12"/>
      <c r="J524" s="15"/>
      <c r="K524" s="12"/>
      <c r="L524" s="15"/>
      <c r="M524" s="14"/>
      <c r="N524" s="15"/>
      <c r="O524" s="15"/>
      <c r="P524" s="15"/>
    </row>
    <row r="525" spans="1:16" ht="16.5">
      <c r="A525" s="12"/>
      <c r="B525" s="12"/>
      <c r="C525" s="12"/>
      <c r="D525" s="13"/>
      <c r="E525" s="13"/>
      <c r="F525" s="12"/>
      <c r="G525" s="14"/>
      <c r="H525" s="56"/>
      <c r="I525" s="12"/>
      <c r="J525" s="15"/>
      <c r="K525" s="12"/>
      <c r="L525" s="15"/>
      <c r="M525" s="14"/>
      <c r="N525" s="15"/>
      <c r="O525" s="15"/>
      <c r="P525" s="15"/>
    </row>
    <row r="526" spans="1:16" ht="16.5">
      <c r="A526" s="12"/>
      <c r="B526" s="12"/>
      <c r="C526" s="12"/>
      <c r="D526" s="13"/>
      <c r="E526" s="13"/>
      <c r="F526" s="12"/>
      <c r="G526" s="14"/>
      <c r="H526" s="56"/>
      <c r="I526" s="12"/>
      <c r="J526" s="15"/>
      <c r="K526" s="12"/>
      <c r="L526" s="15"/>
      <c r="M526" s="14"/>
      <c r="N526" s="15"/>
      <c r="O526" s="15"/>
      <c r="P526" s="15"/>
    </row>
    <row r="527" spans="1:16" ht="16.5">
      <c r="A527" s="12"/>
      <c r="B527" s="12"/>
      <c r="C527" s="12"/>
      <c r="D527" s="13"/>
      <c r="E527" s="13"/>
      <c r="F527" s="12"/>
      <c r="G527" s="14"/>
      <c r="H527" s="56"/>
      <c r="I527" s="12"/>
      <c r="J527" s="15"/>
      <c r="K527" s="12"/>
      <c r="L527" s="15"/>
      <c r="M527" s="14"/>
      <c r="N527" s="15"/>
      <c r="O527" s="15"/>
      <c r="P527" s="15"/>
    </row>
    <row r="528" spans="1:16" ht="16.5">
      <c r="A528" s="12"/>
      <c r="B528" s="12"/>
      <c r="C528" s="12"/>
      <c r="D528" s="13"/>
      <c r="E528" s="13"/>
      <c r="F528" s="12"/>
      <c r="G528" s="14"/>
      <c r="H528" s="56"/>
      <c r="I528" s="12"/>
      <c r="J528" s="15"/>
      <c r="K528" s="12"/>
      <c r="L528" s="15"/>
      <c r="M528" s="14"/>
      <c r="N528" s="15"/>
      <c r="O528" s="15"/>
      <c r="P528" s="15"/>
    </row>
    <row r="529" spans="1:16" ht="16.5">
      <c r="A529" s="12"/>
      <c r="B529" s="12"/>
      <c r="C529" s="12"/>
      <c r="D529" s="13"/>
      <c r="E529" s="13"/>
      <c r="F529" s="12"/>
      <c r="G529" s="14"/>
      <c r="H529" s="56"/>
      <c r="I529" s="12"/>
      <c r="J529" s="15"/>
      <c r="K529" s="12"/>
      <c r="L529" s="15"/>
      <c r="M529" s="14"/>
      <c r="N529" s="15"/>
      <c r="O529" s="15"/>
      <c r="P529" s="15"/>
    </row>
    <row r="530" spans="1:16" ht="16.5">
      <c r="A530" s="12"/>
      <c r="B530" s="12"/>
      <c r="C530" s="12"/>
      <c r="D530" s="13"/>
      <c r="E530" s="13"/>
      <c r="F530" s="12"/>
      <c r="G530" s="14"/>
      <c r="H530" s="56"/>
      <c r="I530" s="12"/>
      <c r="J530" s="15"/>
      <c r="K530" s="12"/>
      <c r="L530" s="15"/>
      <c r="M530" s="14"/>
      <c r="N530" s="15"/>
      <c r="O530" s="15"/>
      <c r="P530" s="15"/>
    </row>
    <row r="531" spans="1:16" ht="16.5">
      <c r="A531" s="12"/>
      <c r="B531" s="12"/>
      <c r="C531" s="12"/>
      <c r="D531" s="13"/>
      <c r="E531" s="13"/>
      <c r="F531" s="12"/>
      <c r="G531" s="14"/>
      <c r="H531" s="56"/>
      <c r="I531" s="12"/>
      <c r="J531" s="15"/>
      <c r="K531" s="12"/>
      <c r="L531" s="15"/>
      <c r="M531" s="14"/>
      <c r="N531" s="15"/>
      <c r="O531" s="15"/>
      <c r="P531" s="15"/>
    </row>
    <row r="532" spans="1:16" ht="16.5">
      <c r="A532" s="12"/>
      <c r="B532" s="12"/>
      <c r="C532" s="12"/>
      <c r="D532" s="13"/>
      <c r="E532" s="13"/>
      <c r="F532" s="12"/>
      <c r="G532" s="14"/>
      <c r="H532" s="56"/>
      <c r="I532" s="12"/>
      <c r="J532" s="15"/>
      <c r="K532" s="12"/>
      <c r="L532" s="15"/>
      <c r="M532" s="14"/>
      <c r="N532" s="15"/>
      <c r="O532" s="15"/>
      <c r="P532" s="15"/>
    </row>
    <row r="533" spans="1:16" ht="16.5">
      <c r="A533" s="12"/>
      <c r="B533" s="12"/>
      <c r="C533" s="12"/>
      <c r="D533" s="13"/>
      <c r="E533" s="13"/>
      <c r="F533" s="12"/>
      <c r="G533" s="14"/>
      <c r="H533" s="56"/>
      <c r="I533" s="12"/>
      <c r="J533" s="15"/>
      <c r="K533" s="12"/>
      <c r="L533" s="15"/>
      <c r="M533" s="14"/>
      <c r="N533" s="15"/>
      <c r="O533" s="15"/>
      <c r="P533" s="15"/>
    </row>
    <row r="534" spans="1:16" ht="16.5">
      <c r="A534" s="12"/>
      <c r="B534" s="12"/>
      <c r="C534" s="12"/>
      <c r="D534" s="13"/>
      <c r="E534" s="13"/>
      <c r="F534" s="12"/>
      <c r="G534" s="14"/>
      <c r="H534" s="56"/>
      <c r="I534" s="12"/>
      <c r="J534" s="15"/>
      <c r="K534" s="12"/>
      <c r="L534" s="15"/>
      <c r="M534" s="14"/>
      <c r="N534" s="15"/>
      <c r="O534" s="15"/>
      <c r="P534" s="15"/>
    </row>
    <row r="535" spans="1:16" ht="16.5">
      <c r="A535" s="12"/>
      <c r="B535" s="12"/>
      <c r="C535" s="12"/>
      <c r="D535" s="13"/>
      <c r="E535" s="13"/>
      <c r="F535" s="12"/>
      <c r="G535" s="14"/>
      <c r="H535" s="56"/>
      <c r="I535" s="12"/>
      <c r="J535" s="15"/>
      <c r="K535" s="12"/>
      <c r="L535" s="15"/>
      <c r="M535" s="14"/>
      <c r="N535" s="15"/>
      <c r="O535" s="15"/>
      <c r="P535" s="15"/>
    </row>
    <row r="536" spans="1:16" ht="16.5">
      <c r="A536" s="12"/>
      <c r="B536" s="12"/>
      <c r="C536" s="12"/>
      <c r="D536" s="13"/>
      <c r="E536" s="13"/>
      <c r="F536" s="12"/>
      <c r="G536" s="14"/>
      <c r="H536" s="56"/>
      <c r="I536" s="12"/>
      <c r="J536" s="15"/>
      <c r="K536" s="12"/>
      <c r="L536" s="15"/>
      <c r="M536" s="14"/>
      <c r="N536" s="15"/>
      <c r="O536" s="15"/>
      <c r="P536" s="15"/>
    </row>
    <row r="537" spans="1:16" ht="16.5">
      <c r="A537" s="12"/>
      <c r="B537" s="12"/>
      <c r="C537" s="12"/>
      <c r="D537" s="13"/>
      <c r="E537" s="13"/>
      <c r="F537" s="12"/>
      <c r="G537" s="14"/>
      <c r="H537" s="56"/>
      <c r="I537" s="12"/>
      <c r="J537" s="15"/>
      <c r="K537" s="12"/>
      <c r="L537" s="15"/>
      <c r="M537" s="14"/>
      <c r="N537" s="15"/>
      <c r="O537" s="15"/>
      <c r="P537" s="15"/>
    </row>
    <row r="538" spans="1:16" ht="16.5">
      <c r="A538" s="12"/>
      <c r="B538" s="12"/>
      <c r="C538" s="12"/>
      <c r="D538" s="13"/>
      <c r="E538" s="13"/>
      <c r="F538" s="12"/>
      <c r="G538" s="14"/>
      <c r="H538" s="56"/>
      <c r="I538" s="12"/>
      <c r="J538" s="15"/>
      <c r="K538" s="12"/>
      <c r="L538" s="15"/>
      <c r="M538" s="14"/>
      <c r="N538" s="15"/>
      <c r="O538" s="15"/>
      <c r="P538" s="15"/>
    </row>
    <row r="539" spans="1:16" ht="16.5">
      <c r="A539" s="12"/>
      <c r="B539" s="12"/>
      <c r="C539" s="12"/>
      <c r="D539" s="13"/>
      <c r="E539" s="13"/>
      <c r="F539" s="12"/>
      <c r="G539" s="14"/>
      <c r="H539" s="56"/>
      <c r="I539" s="12"/>
      <c r="J539" s="15"/>
      <c r="K539" s="12"/>
      <c r="L539" s="15"/>
      <c r="M539" s="14"/>
      <c r="N539" s="15"/>
      <c r="O539" s="15"/>
      <c r="P539" s="15"/>
    </row>
    <row r="540" spans="1:16" ht="16.5">
      <c r="A540" s="12"/>
      <c r="B540" s="12"/>
      <c r="C540" s="12"/>
      <c r="D540" s="13"/>
      <c r="E540" s="13"/>
      <c r="F540" s="12"/>
      <c r="G540" s="14"/>
      <c r="H540" s="56"/>
      <c r="I540" s="12"/>
      <c r="J540" s="15"/>
      <c r="K540" s="12"/>
      <c r="L540" s="15"/>
      <c r="M540" s="14"/>
      <c r="N540" s="15"/>
      <c r="O540" s="15"/>
      <c r="P540" s="15"/>
    </row>
    <row r="541" spans="1:16" ht="16.5">
      <c r="A541" s="12"/>
      <c r="B541" s="12"/>
      <c r="C541" s="12"/>
      <c r="D541" s="13"/>
      <c r="E541" s="13"/>
      <c r="F541" s="12"/>
      <c r="G541" s="14"/>
      <c r="H541" s="56"/>
      <c r="I541" s="12"/>
      <c r="J541" s="15"/>
      <c r="K541" s="12"/>
      <c r="L541" s="15"/>
      <c r="M541" s="14"/>
      <c r="N541" s="15"/>
      <c r="O541" s="15"/>
      <c r="P541" s="15"/>
    </row>
    <row r="542" spans="1:16" ht="16.5">
      <c r="A542" s="12"/>
      <c r="B542" s="12"/>
      <c r="C542" s="12"/>
      <c r="D542" s="13"/>
      <c r="E542" s="13"/>
      <c r="F542" s="12"/>
      <c r="G542" s="14"/>
      <c r="H542" s="56"/>
      <c r="I542" s="12"/>
      <c r="J542" s="15"/>
      <c r="K542" s="12"/>
      <c r="L542" s="15"/>
      <c r="M542" s="14"/>
      <c r="N542" s="15"/>
      <c r="O542" s="15"/>
      <c r="P542" s="15"/>
    </row>
    <row r="543" spans="1:16" ht="16.5">
      <c r="A543" s="12"/>
      <c r="B543" s="12"/>
      <c r="C543" s="12"/>
      <c r="D543" s="13"/>
      <c r="E543" s="13"/>
      <c r="F543" s="12"/>
      <c r="G543" s="14"/>
      <c r="H543" s="56"/>
      <c r="I543" s="12"/>
      <c r="J543" s="15"/>
      <c r="K543" s="12"/>
      <c r="L543" s="15"/>
      <c r="M543" s="14"/>
      <c r="N543" s="15"/>
      <c r="O543" s="15"/>
      <c r="P543" s="15"/>
    </row>
    <row r="544" spans="1:16" ht="16.5">
      <c r="A544" s="12"/>
      <c r="B544" s="12"/>
      <c r="C544" s="12"/>
      <c r="D544" s="13"/>
      <c r="E544" s="13"/>
      <c r="F544" s="12"/>
      <c r="G544" s="14"/>
      <c r="H544" s="56"/>
      <c r="I544" s="12"/>
      <c r="J544" s="15"/>
      <c r="K544" s="12"/>
      <c r="L544" s="15"/>
      <c r="M544" s="14"/>
      <c r="N544" s="15"/>
      <c r="O544" s="15"/>
      <c r="P544" s="15"/>
    </row>
    <row r="545" spans="1:16" ht="16.5">
      <c r="A545" s="12"/>
      <c r="B545" s="12"/>
      <c r="C545" s="12"/>
      <c r="D545" s="13"/>
      <c r="E545" s="13"/>
      <c r="F545" s="12"/>
      <c r="G545" s="14"/>
      <c r="H545" s="56"/>
      <c r="I545" s="12"/>
      <c r="J545" s="15"/>
      <c r="K545" s="12"/>
      <c r="L545" s="15"/>
      <c r="M545" s="14"/>
      <c r="N545" s="15"/>
      <c r="O545" s="15"/>
      <c r="P545" s="15"/>
    </row>
    <row r="546" spans="1:16" ht="16.5">
      <c r="A546" s="12"/>
      <c r="B546" s="12"/>
      <c r="C546" s="12"/>
      <c r="D546" s="13"/>
      <c r="E546" s="13"/>
      <c r="F546" s="12"/>
      <c r="G546" s="14"/>
      <c r="H546" s="56"/>
      <c r="I546" s="12"/>
      <c r="J546" s="15"/>
      <c r="K546" s="12"/>
      <c r="L546" s="15"/>
      <c r="M546" s="14"/>
      <c r="N546" s="15"/>
      <c r="O546" s="15"/>
      <c r="P546" s="15"/>
    </row>
    <row r="547" spans="1:16" ht="16.5">
      <c r="A547" s="12"/>
      <c r="B547" s="12"/>
      <c r="C547" s="12"/>
      <c r="D547" s="13"/>
      <c r="E547" s="13"/>
      <c r="F547" s="12"/>
      <c r="G547" s="14"/>
      <c r="H547" s="56"/>
      <c r="I547" s="12"/>
      <c r="J547" s="15"/>
      <c r="K547" s="12"/>
      <c r="L547" s="15"/>
      <c r="M547" s="14"/>
      <c r="N547" s="15"/>
      <c r="O547" s="15"/>
      <c r="P547" s="15"/>
    </row>
    <row r="548" spans="1:16" ht="16.5">
      <c r="A548" s="12"/>
      <c r="B548" s="12"/>
      <c r="C548" s="12"/>
      <c r="D548" s="13"/>
      <c r="E548" s="13"/>
      <c r="F548" s="12"/>
      <c r="G548" s="14"/>
      <c r="H548" s="56"/>
      <c r="I548" s="12"/>
      <c r="J548" s="15"/>
      <c r="K548" s="12"/>
      <c r="L548" s="15"/>
      <c r="M548" s="14"/>
      <c r="N548" s="15"/>
      <c r="O548" s="15"/>
      <c r="P548" s="15"/>
    </row>
    <row r="549" spans="1:16" ht="16.5">
      <c r="A549" s="12"/>
      <c r="B549" s="12"/>
      <c r="C549" s="12"/>
      <c r="D549" s="13"/>
      <c r="E549" s="13"/>
      <c r="F549" s="12"/>
      <c r="G549" s="14"/>
      <c r="H549" s="56"/>
      <c r="I549" s="12"/>
      <c r="J549" s="15"/>
      <c r="K549" s="12"/>
      <c r="L549" s="15"/>
      <c r="M549" s="14"/>
      <c r="N549" s="15"/>
      <c r="O549" s="15"/>
      <c r="P549" s="15"/>
    </row>
    <row r="550" spans="1:16" ht="16.5">
      <c r="A550" s="12"/>
      <c r="B550" s="12"/>
      <c r="C550" s="12"/>
      <c r="D550" s="13"/>
      <c r="E550" s="13"/>
      <c r="F550" s="12"/>
      <c r="G550" s="14"/>
      <c r="H550" s="56"/>
      <c r="I550" s="12"/>
      <c r="J550" s="15"/>
      <c r="K550" s="12"/>
      <c r="L550" s="15"/>
      <c r="M550" s="14"/>
      <c r="N550" s="15"/>
      <c r="O550" s="15"/>
      <c r="P550" s="15"/>
    </row>
    <row r="551" spans="1:16" ht="16.5">
      <c r="A551" s="12"/>
      <c r="B551" s="12"/>
      <c r="C551" s="12"/>
      <c r="D551" s="13"/>
      <c r="E551" s="13"/>
      <c r="F551" s="12"/>
      <c r="G551" s="14"/>
      <c r="H551" s="56"/>
      <c r="I551" s="12"/>
      <c r="J551" s="15"/>
      <c r="K551" s="12"/>
      <c r="L551" s="15"/>
      <c r="M551" s="14"/>
      <c r="N551" s="15"/>
      <c r="O551" s="15"/>
      <c r="P551" s="15"/>
    </row>
    <row r="552" spans="1:16" ht="16.5">
      <c r="A552" s="12"/>
      <c r="B552" s="12"/>
      <c r="C552" s="12"/>
      <c r="D552" s="13"/>
      <c r="E552" s="13"/>
      <c r="F552" s="12"/>
      <c r="G552" s="14"/>
      <c r="H552" s="56"/>
      <c r="I552" s="12"/>
      <c r="J552" s="15"/>
      <c r="K552" s="12"/>
      <c r="L552" s="15"/>
      <c r="M552" s="14"/>
      <c r="N552" s="15"/>
      <c r="O552" s="15"/>
      <c r="P552" s="15"/>
    </row>
    <row r="553" spans="1:16" ht="16.5">
      <c r="A553" s="12"/>
      <c r="B553" s="12"/>
      <c r="C553" s="12"/>
      <c r="D553" s="13"/>
      <c r="E553" s="13"/>
      <c r="F553" s="12"/>
      <c r="G553" s="14"/>
      <c r="H553" s="56"/>
      <c r="I553" s="12"/>
      <c r="J553" s="15"/>
      <c r="K553" s="12"/>
      <c r="L553" s="15"/>
      <c r="M553" s="14"/>
      <c r="N553" s="15"/>
      <c r="O553" s="15"/>
      <c r="P553" s="15"/>
    </row>
    <row r="554" spans="1:16" ht="16.5">
      <c r="A554" s="12"/>
      <c r="B554" s="12"/>
      <c r="C554" s="12"/>
      <c r="D554" s="13"/>
      <c r="E554" s="13"/>
      <c r="F554" s="12"/>
      <c r="G554" s="14"/>
      <c r="H554" s="56"/>
      <c r="I554" s="12"/>
      <c r="J554" s="15"/>
      <c r="K554" s="12"/>
      <c r="L554" s="15"/>
      <c r="M554" s="14"/>
      <c r="N554" s="15"/>
      <c r="O554" s="15"/>
      <c r="P554" s="15"/>
    </row>
    <row r="555" spans="1:16" ht="16.5">
      <c r="A555" s="12"/>
      <c r="B555" s="12"/>
      <c r="C555" s="12"/>
      <c r="D555" s="13"/>
      <c r="E555" s="13"/>
      <c r="F555" s="12"/>
      <c r="G555" s="14"/>
      <c r="H555" s="56"/>
      <c r="I555" s="12"/>
      <c r="J555" s="15"/>
      <c r="K555" s="12"/>
      <c r="L555" s="15"/>
      <c r="M555" s="14"/>
      <c r="N555" s="15"/>
      <c r="O555" s="15"/>
      <c r="P555" s="15"/>
    </row>
    <row r="556" spans="1:16" ht="16.5">
      <c r="A556" s="12"/>
      <c r="B556" s="12"/>
      <c r="C556" s="12"/>
      <c r="D556" s="13"/>
      <c r="E556" s="13"/>
      <c r="F556" s="12"/>
      <c r="G556" s="14"/>
      <c r="H556" s="56"/>
      <c r="I556" s="12"/>
      <c r="J556" s="15"/>
      <c r="K556" s="12"/>
      <c r="L556" s="15"/>
      <c r="M556" s="14"/>
      <c r="N556" s="15"/>
      <c r="O556" s="15"/>
      <c r="P556" s="15"/>
    </row>
    <row r="557" spans="1:16" ht="16.5">
      <c r="A557" s="12"/>
      <c r="B557" s="12"/>
      <c r="C557" s="12"/>
      <c r="D557" s="13"/>
      <c r="E557" s="13"/>
      <c r="F557" s="12"/>
      <c r="G557" s="14"/>
      <c r="H557" s="56"/>
      <c r="I557" s="12"/>
      <c r="J557" s="15"/>
      <c r="K557" s="12"/>
      <c r="L557" s="15"/>
      <c r="M557" s="14"/>
      <c r="N557" s="15"/>
      <c r="O557" s="15"/>
      <c r="P557" s="15"/>
    </row>
    <row r="558" spans="1:16" ht="16.5">
      <c r="A558" s="12"/>
      <c r="B558" s="12"/>
      <c r="C558" s="12"/>
      <c r="D558" s="13"/>
      <c r="E558" s="13"/>
      <c r="F558" s="12"/>
      <c r="G558" s="14"/>
      <c r="H558" s="56"/>
      <c r="I558" s="12"/>
      <c r="J558" s="15"/>
      <c r="K558" s="12"/>
      <c r="L558" s="15"/>
      <c r="M558" s="14"/>
      <c r="N558" s="15"/>
      <c r="O558" s="15"/>
      <c r="P558" s="15"/>
    </row>
    <row r="559" spans="1:16" ht="16.5">
      <c r="A559" s="12"/>
      <c r="B559" s="12"/>
      <c r="C559" s="12"/>
      <c r="D559" s="13"/>
      <c r="E559" s="13"/>
      <c r="F559" s="12"/>
      <c r="G559" s="14"/>
      <c r="H559" s="56"/>
      <c r="I559" s="12"/>
      <c r="J559" s="15"/>
      <c r="K559" s="12"/>
      <c r="L559" s="15"/>
      <c r="M559" s="14"/>
      <c r="N559" s="15"/>
      <c r="O559" s="15"/>
      <c r="P559" s="15"/>
    </row>
    <row r="560" spans="1:16" ht="16.5">
      <c r="A560" s="12"/>
      <c r="B560" s="12"/>
      <c r="C560" s="12"/>
      <c r="D560" s="13"/>
      <c r="E560" s="13"/>
      <c r="F560" s="12"/>
      <c r="G560" s="14"/>
      <c r="H560" s="56"/>
      <c r="I560" s="12"/>
      <c r="J560" s="15"/>
      <c r="K560" s="12"/>
      <c r="L560" s="15"/>
      <c r="M560" s="14"/>
      <c r="N560" s="15"/>
      <c r="O560" s="15"/>
      <c r="P560" s="15"/>
    </row>
    <row r="561" spans="1:16" ht="16.5">
      <c r="A561" s="12"/>
      <c r="B561" s="12"/>
      <c r="C561" s="12"/>
      <c r="D561" s="13"/>
      <c r="E561" s="13"/>
      <c r="F561" s="12"/>
      <c r="G561" s="14"/>
      <c r="H561" s="56"/>
      <c r="I561" s="12"/>
      <c r="J561" s="15"/>
      <c r="K561" s="12"/>
      <c r="L561" s="15"/>
      <c r="M561" s="14"/>
      <c r="N561" s="15"/>
      <c r="O561" s="15"/>
      <c r="P561" s="15"/>
    </row>
    <row r="562" spans="1:16" ht="16.5">
      <c r="A562" s="12"/>
      <c r="B562" s="12"/>
      <c r="C562" s="12"/>
      <c r="D562" s="13"/>
      <c r="E562" s="13"/>
      <c r="F562" s="12"/>
      <c r="G562" s="14"/>
      <c r="H562" s="56"/>
      <c r="I562" s="12"/>
      <c r="J562" s="15"/>
      <c r="K562" s="12"/>
      <c r="L562" s="15"/>
      <c r="M562" s="14"/>
      <c r="N562" s="15"/>
      <c r="O562" s="15"/>
      <c r="P562" s="15"/>
    </row>
    <row r="563" spans="1:16" ht="16.5">
      <c r="A563" s="12"/>
      <c r="B563" s="12"/>
      <c r="C563" s="12"/>
      <c r="D563" s="13"/>
      <c r="E563" s="13"/>
      <c r="F563" s="12"/>
      <c r="G563" s="14"/>
      <c r="H563" s="56"/>
      <c r="I563" s="12"/>
      <c r="J563" s="15"/>
      <c r="K563" s="12"/>
      <c r="L563" s="15"/>
      <c r="M563" s="14"/>
      <c r="N563" s="15"/>
      <c r="O563" s="15"/>
      <c r="P563" s="15"/>
    </row>
    <row r="564" spans="1:16" ht="16.5">
      <c r="A564" s="12"/>
      <c r="B564" s="12"/>
      <c r="C564" s="12"/>
      <c r="D564" s="13"/>
      <c r="E564" s="13"/>
      <c r="F564" s="12"/>
      <c r="G564" s="14"/>
      <c r="H564" s="56"/>
      <c r="I564" s="12"/>
      <c r="J564" s="15"/>
      <c r="K564" s="12"/>
      <c r="L564" s="15"/>
      <c r="M564" s="14"/>
      <c r="N564" s="15"/>
      <c r="O564" s="15"/>
      <c r="P564" s="15"/>
    </row>
    <row r="565" spans="1:16" ht="16.5">
      <c r="A565" s="12"/>
      <c r="B565" s="12"/>
      <c r="C565" s="12"/>
      <c r="D565" s="13"/>
      <c r="E565" s="13"/>
      <c r="F565" s="12"/>
      <c r="G565" s="14"/>
      <c r="H565" s="56"/>
      <c r="I565" s="12"/>
      <c r="J565" s="15"/>
      <c r="K565" s="12"/>
      <c r="L565" s="15"/>
      <c r="M565" s="14"/>
      <c r="N565" s="15"/>
      <c r="O565" s="15"/>
      <c r="P565" s="15"/>
    </row>
    <row r="566" spans="1:16" ht="16.5">
      <c r="A566" s="12"/>
      <c r="B566" s="12"/>
      <c r="C566" s="12"/>
      <c r="D566" s="13"/>
      <c r="E566" s="13"/>
      <c r="F566" s="12"/>
      <c r="G566" s="14"/>
      <c r="H566" s="56"/>
      <c r="I566" s="12"/>
      <c r="J566" s="15"/>
      <c r="K566" s="12"/>
      <c r="L566" s="15"/>
      <c r="M566" s="14"/>
      <c r="N566" s="15"/>
      <c r="O566" s="15"/>
      <c r="P566" s="15"/>
    </row>
    <row r="567" spans="1:16" ht="16.5">
      <c r="A567" s="12"/>
      <c r="B567" s="12"/>
      <c r="C567" s="12"/>
      <c r="D567" s="13"/>
      <c r="E567" s="13"/>
      <c r="F567" s="12"/>
      <c r="G567" s="14"/>
      <c r="H567" s="56"/>
      <c r="I567" s="12"/>
      <c r="J567" s="15"/>
      <c r="K567" s="12"/>
      <c r="L567" s="15"/>
      <c r="M567" s="14"/>
      <c r="N567" s="15"/>
      <c r="O567" s="15"/>
      <c r="P567" s="15"/>
    </row>
    <row r="568" spans="1:16" ht="16.5">
      <c r="A568" s="12"/>
      <c r="B568" s="12"/>
      <c r="C568" s="12"/>
      <c r="D568" s="13"/>
      <c r="E568" s="13"/>
      <c r="F568" s="12"/>
      <c r="G568" s="14"/>
      <c r="H568" s="56"/>
      <c r="I568" s="12"/>
      <c r="J568" s="15"/>
      <c r="K568" s="12"/>
      <c r="L568" s="15"/>
      <c r="M568" s="14"/>
      <c r="N568" s="15"/>
      <c r="O568" s="15"/>
      <c r="P568" s="15"/>
    </row>
    <row r="569" spans="1:16" ht="16.5">
      <c r="A569" s="12"/>
      <c r="B569" s="12"/>
      <c r="C569" s="12"/>
      <c r="D569" s="13"/>
      <c r="E569" s="13"/>
      <c r="F569" s="12"/>
      <c r="G569" s="14"/>
      <c r="H569" s="56"/>
      <c r="I569" s="12"/>
      <c r="J569" s="15"/>
      <c r="K569" s="12"/>
      <c r="L569" s="15"/>
      <c r="M569" s="14"/>
      <c r="N569" s="15"/>
      <c r="O569" s="15"/>
      <c r="P569" s="15"/>
    </row>
    <row r="570" spans="1:16" ht="16.5">
      <c r="A570" s="12"/>
      <c r="B570" s="12"/>
      <c r="C570" s="12"/>
      <c r="D570" s="13"/>
      <c r="E570" s="13"/>
      <c r="F570" s="12"/>
      <c r="G570" s="14"/>
      <c r="H570" s="56"/>
      <c r="I570" s="12"/>
      <c r="J570" s="15"/>
      <c r="K570" s="12"/>
      <c r="L570" s="15"/>
      <c r="M570" s="14"/>
      <c r="N570" s="15"/>
      <c r="O570" s="15"/>
      <c r="P570" s="15"/>
    </row>
    <row r="571" spans="1:16" ht="16.5">
      <c r="A571" s="12"/>
      <c r="B571" s="12"/>
      <c r="C571" s="12"/>
      <c r="D571" s="13"/>
      <c r="E571" s="13"/>
      <c r="F571" s="12"/>
      <c r="G571" s="14"/>
      <c r="H571" s="56"/>
      <c r="I571" s="12"/>
      <c r="J571" s="15"/>
      <c r="K571" s="12"/>
      <c r="L571" s="15"/>
      <c r="M571" s="14"/>
      <c r="N571" s="15"/>
      <c r="O571" s="15"/>
      <c r="P571" s="15"/>
    </row>
    <row r="572" spans="1:16" ht="16.5">
      <c r="A572" s="12"/>
      <c r="B572" s="12"/>
      <c r="C572" s="12"/>
      <c r="D572" s="13"/>
      <c r="E572" s="13"/>
      <c r="F572" s="12"/>
      <c r="G572" s="14"/>
      <c r="H572" s="56"/>
      <c r="I572" s="12"/>
      <c r="J572" s="15"/>
      <c r="K572" s="12"/>
      <c r="L572" s="15"/>
      <c r="M572" s="14"/>
      <c r="N572" s="15"/>
      <c r="O572" s="15"/>
      <c r="P572" s="15"/>
    </row>
    <row r="573" spans="1:16" ht="16.5">
      <c r="A573" s="12"/>
      <c r="B573" s="12"/>
      <c r="C573" s="12"/>
      <c r="D573" s="13"/>
      <c r="E573" s="13"/>
      <c r="F573" s="12"/>
      <c r="G573" s="14"/>
      <c r="H573" s="56"/>
      <c r="I573" s="12"/>
      <c r="J573" s="15"/>
      <c r="K573" s="12"/>
      <c r="L573" s="15"/>
      <c r="M573" s="14"/>
      <c r="N573" s="15"/>
      <c r="O573" s="15"/>
      <c r="P573" s="15"/>
    </row>
    <row r="574" spans="1:16" ht="16.5">
      <c r="A574" s="12"/>
      <c r="B574" s="12"/>
      <c r="C574" s="12"/>
      <c r="D574" s="13"/>
      <c r="E574" s="13"/>
      <c r="F574" s="12"/>
      <c r="G574" s="14"/>
      <c r="H574" s="56"/>
      <c r="I574" s="12"/>
      <c r="J574" s="15"/>
      <c r="K574" s="12"/>
      <c r="L574" s="15"/>
      <c r="M574" s="14"/>
      <c r="N574" s="15"/>
      <c r="O574" s="15"/>
      <c r="P574" s="15"/>
    </row>
    <row r="575" spans="1:16" ht="16.5">
      <c r="A575" s="12"/>
      <c r="B575" s="12"/>
      <c r="C575" s="12"/>
      <c r="D575" s="13"/>
      <c r="E575" s="13"/>
      <c r="F575" s="12"/>
      <c r="G575" s="14"/>
      <c r="H575" s="56"/>
      <c r="I575" s="12"/>
      <c r="J575" s="15"/>
      <c r="K575" s="12"/>
      <c r="L575" s="15"/>
      <c r="M575" s="14"/>
      <c r="N575" s="15"/>
      <c r="O575" s="15"/>
      <c r="P575" s="15"/>
    </row>
    <row r="576" spans="1:16" ht="16.5">
      <c r="A576" s="12"/>
      <c r="B576" s="12"/>
      <c r="C576" s="12"/>
      <c r="D576" s="13"/>
      <c r="E576" s="13"/>
      <c r="F576" s="12"/>
      <c r="G576" s="14"/>
      <c r="H576" s="56"/>
      <c r="I576" s="12"/>
      <c r="J576" s="15"/>
      <c r="K576" s="12"/>
      <c r="L576" s="15"/>
      <c r="M576" s="14"/>
      <c r="N576" s="15"/>
      <c r="O576" s="15"/>
      <c r="P576" s="15"/>
    </row>
    <row r="577" spans="1:16" ht="16.5">
      <c r="A577" s="12"/>
      <c r="B577" s="12"/>
      <c r="C577" s="12"/>
      <c r="D577" s="13"/>
      <c r="E577" s="13"/>
      <c r="F577" s="12"/>
      <c r="G577" s="14"/>
      <c r="H577" s="56"/>
      <c r="I577" s="12"/>
      <c r="J577" s="15"/>
      <c r="K577" s="12"/>
      <c r="L577" s="15"/>
      <c r="M577" s="14"/>
      <c r="N577" s="15"/>
      <c r="O577" s="15"/>
      <c r="P577" s="15"/>
    </row>
    <row r="578" spans="1:16" ht="16.5">
      <c r="A578" s="12"/>
      <c r="B578" s="12"/>
      <c r="C578" s="12"/>
      <c r="D578" s="13"/>
      <c r="E578" s="13"/>
      <c r="F578" s="12"/>
      <c r="G578" s="14"/>
      <c r="H578" s="56"/>
      <c r="I578" s="12"/>
      <c r="J578" s="15"/>
      <c r="K578" s="12"/>
      <c r="L578" s="15"/>
      <c r="M578" s="14"/>
      <c r="N578" s="15"/>
      <c r="O578" s="15"/>
      <c r="P578" s="15"/>
    </row>
    <row r="579" spans="1:16" ht="16.5">
      <c r="A579" s="12"/>
      <c r="B579" s="12"/>
      <c r="C579" s="12"/>
      <c r="D579" s="13"/>
      <c r="E579" s="13"/>
      <c r="F579" s="12"/>
      <c r="G579" s="14"/>
      <c r="H579" s="56"/>
      <c r="I579" s="12"/>
      <c r="J579" s="15"/>
      <c r="K579" s="12"/>
      <c r="L579" s="15"/>
      <c r="M579" s="14"/>
      <c r="N579" s="15"/>
      <c r="O579" s="15"/>
      <c r="P579" s="15"/>
    </row>
    <row r="580" spans="1:16" ht="16.5">
      <c r="A580" s="12"/>
      <c r="B580" s="12"/>
      <c r="C580" s="12"/>
      <c r="D580" s="13"/>
      <c r="E580" s="13"/>
      <c r="F580" s="12"/>
      <c r="G580" s="14"/>
      <c r="H580" s="56"/>
      <c r="I580" s="12"/>
      <c r="J580" s="15"/>
      <c r="K580" s="12"/>
      <c r="L580" s="15"/>
      <c r="M580" s="14"/>
      <c r="N580" s="15"/>
      <c r="O580" s="15"/>
      <c r="P580" s="15"/>
    </row>
    <row r="581" spans="1:16" ht="16.5">
      <c r="A581" s="12"/>
      <c r="B581" s="12"/>
      <c r="C581" s="12"/>
      <c r="D581" s="13"/>
      <c r="E581" s="13"/>
      <c r="F581" s="12"/>
      <c r="G581" s="14"/>
      <c r="H581" s="56"/>
      <c r="I581" s="12"/>
      <c r="J581" s="15"/>
      <c r="K581" s="12"/>
      <c r="L581" s="15"/>
      <c r="M581" s="14"/>
      <c r="N581" s="15"/>
      <c r="O581" s="15"/>
      <c r="P581" s="15"/>
    </row>
    <row r="582" spans="1:16" ht="16.5">
      <c r="A582" s="12"/>
      <c r="B582" s="12"/>
      <c r="C582" s="12"/>
      <c r="D582" s="13"/>
      <c r="E582" s="13"/>
      <c r="F582" s="12"/>
      <c r="G582" s="14"/>
      <c r="H582" s="56"/>
      <c r="I582" s="12"/>
      <c r="J582" s="15"/>
      <c r="K582" s="12"/>
      <c r="L582" s="15"/>
      <c r="M582" s="14"/>
      <c r="N582" s="15"/>
      <c r="O582" s="15"/>
      <c r="P582" s="15"/>
    </row>
    <row r="583" spans="1:16" ht="16.5">
      <c r="A583" s="12"/>
      <c r="B583" s="12"/>
      <c r="C583" s="12"/>
      <c r="D583" s="13"/>
      <c r="E583" s="13"/>
      <c r="F583" s="12"/>
      <c r="G583" s="14"/>
      <c r="H583" s="56"/>
      <c r="I583" s="12"/>
      <c r="J583" s="15"/>
      <c r="K583" s="12"/>
      <c r="L583" s="15"/>
      <c r="M583" s="14"/>
      <c r="N583" s="15"/>
      <c r="O583" s="15"/>
      <c r="P583" s="15"/>
    </row>
    <row r="584" spans="1:16" ht="16.5">
      <c r="A584" s="12"/>
      <c r="B584" s="12"/>
      <c r="C584" s="12"/>
      <c r="D584" s="13"/>
      <c r="E584" s="13"/>
      <c r="F584" s="12"/>
      <c r="G584" s="14"/>
      <c r="H584" s="56"/>
      <c r="I584" s="12"/>
      <c r="J584" s="15"/>
      <c r="K584" s="12"/>
      <c r="L584" s="15"/>
      <c r="M584" s="14"/>
      <c r="N584" s="15"/>
      <c r="O584" s="15"/>
      <c r="P584" s="15"/>
    </row>
    <row r="585" spans="1:16" ht="16.5">
      <c r="A585" s="12"/>
      <c r="B585" s="12"/>
      <c r="C585" s="12"/>
      <c r="D585" s="13"/>
      <c r="E585" s="13"/>
      <c r="F585" s="12"/>
      <c r="G585" s="14"/>
      <c r="H585" s="56"/>
      <c r="I585" s="12"/>
      <c r="J585" s="15"/>
      <c r="K585" s="12"/>
      <c r="L585" s="15"/>
      <c r="M585" s="14"/>
      <c r="N585" s="15"/>
      <c r="O585" s="15"/>
      <c r="P585" s="15"/>
    </row>
    <row r="586" spans="1:16" ht="16.5">
      <c r="A586" s="12"/>
      <c r="B586" s="12"/>
      <c r="C586" s="12"/>
      <c r="D586" s="13"/>
      <c r="E586" s="13"/>
      <c r="F586" s="12"/>
      <c r="G586" s="14"/>
      <c r="H586" s="56"/>
      <c r="I586" s="12"/>
      <c r="J586" s="15"/>
      <c r="K586" s="12"/>
      <c r="L586" s="15"/>
      <c r="M586" s="14"/>
      <c r="N586" s="15"/>
      <c r="O586" s="15"/>
      <c r="P586" s="15"/>
    </row>
    <row r="587" spans="1:16" ht="16.5">
      <c r="A587" s="12"/>
      <c r="B587" s="12"/>
      <c r="C587" s="12"/>
      <c r="D587" s="13"/>
      <c r="E587" s="13"/>
      <c r="F587" s="12"/>
      <c r="G587" s="14"/>
      <c r="H587" s="56"/>
      <c r="I587" s="12"/>
      <c r="J587" s="15"/>
      <c r="K587" s="12"/>
      <c r="L587" s="15"/>
      <c r="M587" s="14"/>
      <c r="N587" s="15"/>
      <c r="O587" s="15"/>
      <c r="P587" s="15"/>
    </row>
    <row r="588" spans="1:16" ht="16.5">
      <c r="A588" s="12"/>
      <c r="B588" s="12"/>
      <c r="C588" s="12"/>
      <c r="D588" s="13"/>
      <c r="E588" s="13"/>
      <c r="F588" s="12"/>
      <c r="G588" s="14"/>
      <c r="H588" s="56"/>
      <c r="I588" s="12"/>
      <c r="J588" s="15"/>
      <c r="K588" s="12"/>
      <c r="L588" s="15"/>
      <c r="M588" s="14"/>
      <c r="N588" s="15"/>
      <c r="O588" s="15"/>
      <c r="P588" s="15"/>
    </row>
    <row r="589" spans="1:16" ht="16.5">
      <c r="A589" s="12"/>
      <c r="B589" s="12"/>
      <c r="C589" s="12"/>
      <c r="D589" s="13"/>
      <c r="E589" s="13"/>
      <c r="F589" s="12"/>
      <c r="G589" s="14"/>
      <c r="H589" s="56"/>
      <c r="I589" s="12"/>
      <c r="J589" s="15"/>
      <c r="K589" s="12"/>
      <c r="L589" s="15"/>
      <c r="M589" s="14"/>
      <c r="N589" s="15"/>
      <c r="O589" s="15"/>
      <c r="P589" s="15"/>
    </row>
    <row r="590" spans="1:16" ht="16.5">
      <c r="A590" s="12"/>
      <c r="B590" s="12"/>
      <c r="C590" s="12"/>
      <c r="D590" s="13"/>
      <c r="E590" s="13"/>
      <c r="F590" s="12"/>
      <c r="G590" s="14"/>
      <c r="H590" s="56"/>
      <c r="I590" s="12"/>
      <c r="J590" s="15"/>
      <c r="K590" s="12"/>
      <c r="L590" s="15"/>
      <c r="M590" s="14"/>
      <c r="N590" s="15"/>
      <c r="O590" s="15"/>
      <c r="P590" s="15"/>
    </row>
    <row r="591" spans="1:16" ht="16.5">
      <c r="A591" s="12"/>
      <c r="B591" s="12"/>
      <c r="C591" s="12"/>
      <c r="D591" s="13"/>
      <c r="E591" s="13"/>
      <c r="F591" s="12"/>
      <c r="G591" s="14"/>
      <c r="H591" s="56"/>
      <c r="I591" s="12"/>
      <c r="J591" s="15"/>
      <c r="K591" s="12"/>
      <c r="L591" s="15"/>
      <c r="M591" s="14"/>
      <c r="N591" s="15"/>
      <c r="O591" s="15"/>
      <c r="P591" s="15"/>
    </row>
    <row r="592" spans="1:16" ht="16.5">
      <c r="A592" s="12"/>
      <c r="B592" s="12"/>
      <c r="C592" s="12"/>
      <c r="D592" s="13"/>
      <c r="E592" s="13"/>
      <c r="F592" s="12"/>
      <c r="G592" s="14"/>
      <c r="H592" s="56"/>
      <c r="I592" s="12"/>
      <c r="J592" s="15"/>
      <c r="K592" s="12"/>
      <c r="L592" s="15"/>
      <c r="M592" s="14"/>
      <c r="N592" s="15"/>
      <c r="O592" s="15"/>
      <c r="P592" s="15"/>
    </row>
    <row r="593" spans="1:16" ht="16.5">
      <c r="A593" s="12"/>
      <c r="B593" s="12"/>
      <c r="C593" s="12"/>
      <c r="D593" s="13"/>
      <c r="E593" s="13"/>
      <c r="F593" s="12"/>
      <c r="G593" s="14"/>
      <c r="H593" s="56"/>
      <c r="I593" s="12"/>
      <c r="J593" s="15"/>
      <c r="K593" s="12"/>
      <c r="L593" s="15"/>
      <c r="M593" s="14"/>
      <c r="N593" s="15"/>
      <c r="O593" s="15"/>
      <c r="P593" s="15"/>
    </row>
    <row r="594" spans="1:16" ht="16.5">
      <c r="A594" s="12"/>
      <c r="B594" s="12"/>
      <c r="C594" s="12"/>
      <c r="D594" s="13"/>
      <c r="E594" s="13"/>
      <c r="F594" s="12"/>
      <c r="G594" s="14"/>
      <c r="H594" s="56"/>
      <c r="I594" s="12"/>
      <c r="J594" s="15"/>
      <c r="K594" s="12"/>
      <c r="L594" s="15"/>
      <c r="M594" s="14"/>
      <c r="N594" s="15"/>
      <c r="O594" s="15"/>
      <c r="P594" s="15"/>
    </row>
    <row r="595" spans="1:16" ht="16.5">
      <c r="A595" s="12"/>
      <c r="B595" s="12"/>
      <c r="C595" s="12"/>
      <c r="D595" s="13"/>
      <c r="E595" s="13"/>
      <c r="F595" s="12"/>
      <c r="G595" s="14"/>
      <c r="H595" s="56"/>
      <c r="I595" s="12"/>
      <c r="J595" s="15"/>
      <c r="K595" s="12"/>
      <c r="L595" s="15"/>
      <c r="M595" s="14"/>
      <c r="N595" s="15"/>
      <c r="O595" s="15"/>
      <c r="P595" s="15"/>
    </row>
    <row r="596" spans="1:16" ht="16.5">
      <c r="A596" s="12"/>
      <c r="B596" s="12"/>
      <c r="C596" s="12"/>
      <c r="D596" s="13"/>
      <c r="E596" s="13"/>
      <c r="F596" s="12"/>
      <c r="G596" s="14"/>
      <c r="H596" s="56"/>
      <c r="I596" s="12"/>
      <c r="J596" s="15"/>
      <c r="K596" s="12"/>
      <c r="L596" s="15"/>
      <c r="M596" s="14"/>
      <c r="N596" s="15"/>
      <c r="O596" s="15"/>
      <c r="P596" s="15"/>
    </row>
    <row r="597" spans="1:16" ht="16.5">
      <c r="A597" s="12"/>
      <c r="B597" s="12"/>
      <c r="C597" s="12"/>
      <c r="D597" s="13"/>
      <c r="E597" s="13"/>
      <c r="F597" s="12"/>
      <c r="G597" s="14"/>
      <c r="H597" s="56"/>
      <c r="I597" s="12"/>
      <c r="J597" s="15"/>
      <c r="K597" s="12"/>
      <c r="L597" s="15"/>
      <c r="M597" s="14"/>
      <c r="N597" s="15"/>
      <c r="O597" s="15"/>
      <c r="P597" s="15"/>
    </row>
    <row r="598" spans="1:16" ht="16.5">
      <c r="A598" s="12"/>
      <c r="B598" s="12"/>
      <c r="C598" s="12"/>
      <c r="D598" s="13"/>
      <c r="E598" s="13"/>
      <c r="F598" s="12"/>
      <c r="G598" s="14"/>
      <c r="H598" s="56"/>
      <c r="I598" s="12"/>
      <c r="J598" s="15"/>
      <c r="K598" s="12"/>
      <c r="L598" s="15"/>
      <c r="M598" s="14"/>
      <c r="N598" s="15"/>
      <c r="O598" s="15"/>
      <c r="P598" s="15"/>
    </row>
    <row r="599" spans="1:16" ht="16.5">
      <c r="A599" s="12"/>
      <c r="B599" s="12"/>
      <c r="C599" s="12"/>
      <c r="D599" s="13"/>
      <c r="E599" s="13"/>
      <c r="F599" s="12"/>
      <c r="G599" s="14"/>
      <c r="H599" s="56"/>
      <c r="I599" s="12"/>
      <c r="J599" s="15"/>
      <c r="K599" s="12"/>
      <c r="L599" s="15"/>
      <c r="M599" s="14"/>
      <c r="N599" s="15"/>
      <c r="O599" s="15"/>
      <c r="P599" s="15"/>
    </row>
    <row r="600" spans="1:16" ht="16.5">
      <c r="A600" s="12"/>
      <c r="B600" s="12"/>
      <c r="C600" s="12"/>
      <c r="D600" s="13"/>
      <c r="E600" s="13"/>
      <c r="F600" s="12"/>
      <c r="G600" s="14"/>
      <c r="H600" s="56"/>
      <c r="I600" s="12"/>
      <c r="J600" s="15"/>
      <c r="K600" s="12"/>
      <c r="L600" s="15"/>
      <c r="M600" s="14"/>
      <c r="N600" s="15"/>
      <c r="O600" s="15"/>
      <c r="P600" s="15"/>
    </row>
  </sheetData>
  <autoFilter ref="A9:O313" xr:uid="{00000000-0009-0000-0000-000002000000}"/>
  <mergeCells count="1">
    <mergeCell ref="A4:B4"/>
  </mergeCells>
  <conditionalFormatting sqref="D2:E2">
    <cfRule type="cellIs" dxfId="56" priority="1" stopIfTrue="1" operator="lessThan">
      <formula>0.0006944</formula>
    </cfRule>
    <cfRule type="cellIs" dxfId="55" priority="2" stopIfTrue="1" operator="lessThan">
      <formula>0.04166</formula>
    </cfRule>
    <cfRule type="cellIs" dxfId="54" priority="3" stopIfTrue="1" operator="greaterThanOrEqual">
      <formula>0.04166</formula>
    </cfRule>
  </conditionalFormatting>
  <conditionalFormatting sqref="D4:E7">
    <cfRule type="cellIs" dxfId="53" priority="4" stopIfTrue="1" operator="lessThan">
      <formula>0.0006944</formula>
    </cfRule>
    <cfRule type="cellIs" dxfId="52" priority="5" stopIfTrue="1" operator="lessThan">
      <formula>0.04166</formula>
    </cfRule>
    <cfRule type="cellIs" dxfId="51" priority="6" stopIfTrue="1" operator="greaterThanOrEqual">
      <formula>0.04166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H302"/>
  <sheetViews>
    <sheetView showGridLines="0" workbookViewId="0"/>
  </sheetViews>
  <sheetFormatPr defaultColWidth="9" defaultRowHeight="14.25"/>
  <cols>
    <col min="1" max="1" width="25.42578125" style="9" customWidth="1"/>
    <col min="2" max="2" width="25.42578125" style="6" customWidth="1"/>
    <col min="3" max="3" width="25.42578125" style="7" customWidth="1"/>
    <col min="4" max="4" width="16.42578125" style="7" bestFit="1" customWidth="1"/>
    <col min="5" max="5" width="11" style="7" bestFit="1" customWidth="1"/>
    <col min="6" max="6" width="35.42578125" style="7" customWidth="1"/>
    <col min="7" max="7" width="10.42578125" style="7" customWidth="1"/>
    <col min="8" max="16384" width="9" style="7"/>
  </cols>
  <sheetData>
    <row r="1" spans="1:8" s="20" customFormat="1" ht="25.5" customHeight="1">
      <c r="A1" s="18" t="s">
        <v>822</v>
      </c>
      <c r="B1" s="19"/>
      <c r="C1" s="11">
        <f>Data!B2</f>
        <v>46074.958065405095</v>
      </c>
      <c r="F1" s="38"/>
    </row>
    <row r="2" spans="1:8" s="25" customFormat="1" ht="25.5" customHeight="1">
      <c r="A2" s="21" t="str">
        <f>Data!B1</f>
        <v>Sanjaya ( Demo Database)</v>
      </c>
      <c r="B2" s="22"/>
      <c r="C2" s="23"/>
      <c r="D2" s="24"/>
      <c r="E2" s="24"/>
      <c r="F2" s="39"/>
      <c r="G2" s="23"/>
      <c r="H2" s="23"/>
    </row>
    <row r="3" spans="1:8" s="27" customFormat="1" ht="17.850000000000001" customHeight="1">
      <c r="A3" s="21"/>
      <c r="B3" s="26"/>
      <c r="D3" s="28"/>
      <c r="E3" s="28"/>
      <c r="F3" s="40"/>
    </row>
    <row r="4" spans="1:8" s="31" customFormat="1" ht="17.850000000000001" customHeight="1">
      <c r="A4" s="87" t="s">
        <v>55</v>
      </c>
      <c r="B4" s="88"/>
      <c r="C4" s="29"/>
      <c r="D4" s="30"/>
      <c r="E4" s="30"/>
      <c r="F4" s="89"/>
      <c r="G4" s="29"/>
      <c r="H4" s="29"/>
    </row>
    <row r="5" spans="1:8" s="31" customFormat="1" ht="17.850000000000001" customHeight="1">
      <c r="A5" s="33" t="s">
        <v>827</v>
      </c>
      <c r="B5" s="34">
        <f>Data!B3</f>
        <v>45678</v>
      </c>
      <c r="C5" s="29"/>
      <c r="D5" s="30"/>
      <c r="E5" s="30"/>
      <c r="F5" s="89"/>
      <c r="G5" s="29"/>
      <c r="H5" s="29"/>
    </row>
    <row r="6" spans="1:8" s="31" customFormat="1" ht="17.850000000000001" customHeight="1">
      <c r="A6" s="33" t="s">
        <v>828</v>
      </c>
      <c r="B6" s="34">
        <f>Data!B4</f>
        <v>46074.999988425923</v>
      </c>
      <c r="C6" s="29"/>
      <c r="D6" s="32"/>
      <c r="E6" s="32"/>
      <c r="F6" s="89"/>
      <c r="G6" s="29"/>
      <c r="H6" s="29"/>
    </row>
    <row r="7" spans="1:8" s="31" customFormat="1" ht="17.850000000000001" customHeight="1">
      <c r="A7" s="33" t="s">
        <v>829</v>
      </c>
      <c r="B7" s="35">
        <f>B6-B5+1</f>
        <v>397.99998842592322</v>
      </c>
      <c r="C7" s="29"/>
      <c r="D7" s="32"/>
      <c r="E7" s="32"/>
      <c r="F7" s="89"/>
      <c r="G7" s="29"/>
      <c r="H7" s="29"/>
    </row>
    <row r="8" spans="1:8" ht="17.850000000000001" customHeight="1">
      <c r="C8" s="65"/>
      <c r="D8" s="65"/>
      <c r="E8" s="65"/>
      <c r="F8" s="65"/>
      <c r="G8" s="65"/>
      <c r="H8" s="65"/>
    </row>
    <row r="9" spans="1:8" ht="18" customHeight="1">
      <c r="A9" s="70" t="s">
        <v>830</v>
      </c>
      <c r="B9" s="71" t="s">
        <v>823</v>
      </c>
      <c r="C9" s="72" t="s">
        <v>842</v>
      </c>
      <c r="D9"/>
      <c r="E9"/>
      <c r="F9"/>
      <c r="G9"/>
      <c r="H9" s="65"/>
    </row>
    <row r="10" spans="1:8" ht="16.5" customHeight="1">
      <c r="A10" s="72" t="s">
        <v>818</v>
      </c>
      <c r="B10" s="90">
        <v>0</v>
      </c>
      <c r="C10" s="90">
        <v>1</v>
      </c>
      <c r="D10"/>
      <c r="E10"/>
      <c r="F10"/>
      <c r="G10"/>
      <c r="H10" s="65"/>
    </row>
    <row r="11" spans="1:8" ht="16.5" customHeight="1">
      <c r="A11" s="72" t="s">
        <v>808</v>
      </c>
      <c r="B11" s="90">
        <v>0</v>
      </c>
      <c r="C11" s="90">
        <v>1</v>
      </c>
      <c r="D11"/>
      <c r="E11"/>
      <c r="F11"/>
      <c r="G11"/>
      <c r="H11" s="65"/>
    </row>
    <row r="12" spans="1:8" ht="16.5" customHeight="1">
      <c r="A12" s="72" t="s">
        <v>804</v>
      </c>
      <c r="B12" s="90">
        <v>0</v>
      </c>
      <c r="C12" s="90">
        <v>1</v>
      </c>
      <c r="D12"/>
      <c r="E12"/>
      <c r="F12"/>
      <c r="G12"/>
      <c r="H12" s="65"/>
    </row>
    <row r="13" spans="1:8" ht="16.5" customHeight="1">
      <c r="A13" s="72" t="s">
        <v>787</v>
      </c>
      <c r="B13" s="90">
        <v>0</v>
      </c>
      <c r="C13" s="90">
        <v>1</v>
      </c>
      <c r="D13"/>
      <c r="E13"/>
      <c r="F13"/>
      <c r="G13"/>
      <c r="H13" s="65"/>
    </row>
    <row r="14" spans="1:8" ht="17.25">
      <c r="A14" s="72" t="s">
        <v>814</v>
      </c>
      <c r="B14" s="90">
        <v>0</v>
      </c>
      <c r="C14" s="90">
        <v>2</v>
      </c>
      <c r="D14"/>
      <c r="E14"/>
      <c r="F14"/>
      <c r="G14"/>
      <c r="H14" s="65"/>
    </row>
    <row r="15" spans="1:8" ht="16.5" customHeight="1">
      <c r="A15" s="72" t="s">
        <v>789</v>
      </c>
      <c r="B15" s="90">
        <v>0</v>
      </c>
      <c r="C15" s="90">
        <v>1</v>
      </c>
      <c r="D15"/>
      <c r="E15"/>
      <c r="F15"/>
      <c r="G15"/>
      <c r="H15" s="65"/>
    </row>
    <row r="16" spans="1:8" ht="16.5" customHeight="1">
      <c r="A16" s="72" t="s">
        <v>780</v>
      </c>
      <c r="B16" s="90">
        <v>0</v>
      </c>
      <c r="C16" s="90">
        <v>1</v>
      </c>
      <c r="D16"/>
      <c r="E16"/>
      <c r="F16"/>
      <c r="G16"/>
    </row>
    <row r="17" spans="1:7" ht="16.5" customHeight="1">
      <c r="A17" s="72" t="s">
        <v>791</v>
      </c>
      <c r="B17" s="90">
        <v>0</v>
      </c>
      <c r="C17" s="90">
        <v>1</v>
      </c>
      <c r="D17"/>
      <c r="E17"/>
      <c r="F17"/>
      <c r="G17"/>
    </row>
    <row r="18" spans="1:7" ht="16.5" customHeight="1">
      <c r="A18" s="72" t="s">
        <v>806</v>
      </c>
      <c r="B18" s="90">
        <v>0</v>
      </c>
      <c r="C18" s="90">
        <v>1</v>
      </c>
      <c r="D18"/>
      <c r="E18"/>
      <c r="F18"/>
      <c r="G18"/>
    </row>
    <row r="19" spans="1:7" ht="16.5" customHeight="1">
      <c r="A19" s="72" t="s">
        <v>793</v>
      </c>
      <c r="B19" s="90">
        <v>0</v>
      </c>
      <c r="C19" s="90">
        <v>1</v>
      </c>
      <c r="D19"/>
      <c r="E19"/>
      <c r="F19"/>
      <c r="G19"/>
    </row>
    <row r="20" spans="1:7" ht="16.5" customHeight="1">
      <c r="A20" s="72" t="s">
        <v>810</v>
      </c>
      <c r="B20" s="90">
        <v>0</v>
      </c>
      <c r="C20" s="90">
        <v>2</v>
      </c>
      <c r="D20"/>
      <c r="E20"/>
      <c r="F20"/>
      <c r="G20"/>
    </row>
    <row r="21" spans="1:7" ht="16.5" customHeight="1">
      <c r="A21" s="72" t="s">
        <v>797</v>
      </c>
      <c r="B21" s="90">
        <v>0</v>
      </c>
      <c r="C21" s="90">
        <v>1</v>
      </c>
      <c r="D21"/>
      <c r="E21"/>
      <c r="F21"/>
      <c r="G21"/>
    </row>
    <row r="22" spans="1:7" ht="16.5" customHeight="1">
      <c r="A22" s="72" t="s">
        <v>816</v>
      </c>
      <c r="B22" s="90">
        <v>0</v>
      </c>
      <c r="C22" s="90">
        <v>1</v>
      </c>
      <c r="D22"/>
      <c r="E22"/>
      <c r="F22"/>
      <c r="G22"/>
    </row>
    <row r="23" spans="1:7" ht="16.5" customHeight="1">
      <c r="A23" s="72" t="s">
        <v>799</v>
      </c>
      <c r="B23" s="90">
        <v>0</v>
      </c>
      <c r="C23" s="90">
        <v>1</v>
      </c>
      <c r="D23"/>
      <c r="E23"/>
      <c r="F23"/>
      <c r="G23"/>
    </row>
    <row r="24" spans="1:7" ht="16.5" customHeight="1">
      <c r="A24" s="72" t="s">
        <v>820</v>
      </c>
      <c r="B24" s="90">
        <v>0</v>
      </c>
      <c r="C24" s="90">
        <v>1</v>
      </c>
      <c r="D24"/>
      <c r="E24"/>
      <c r="F24"/>
      <c r="G24"/>
    </row>
    <row r="25" spans="1:7" ht="16.5" customHeight="1">
      <c r="A25" s="72" t="s">
        <v>801</v>
      </c>
      <c r="B25" s="90">
        <v>0</v>
      </c>
      <c r="C25" s="90">
        <v>1</v>
      </c>
      <c r="D25"/>
      <c r="E25"/>
      <c r="F25"/>
      <c r="G25"/>
    </row>
    <row r="26" spans="1:7" ht="16.5" customHeight="1">
      <c r="A26" s="72" t="s">
        <v>802</v>
      </c>
      <c r="B26" s="90">
        <v>0</v>
      </c>
      <c r="C26" s="90">
        <v>1</v>
      </c>
      <c r="D26"/>
      <c r="E26"/>
      <c r="F26"/>
      <c r="G26"/>
    </row>
    <row r="27" spans="1:7" ht="16.5" customHeight="1">
      <c r="A27"/>
      <c r="B27"/>
      <c r="C27"/>
      <c r="D27"/>
      <c r="E27"/>
      <c r="F27"/>
      <c r="G27"/>
    </row>
    <row r="28" spans="1:7" ht="16.5" customHeight="1">
      <c r="A28"/>
      <c r="B28"/>
      <c r="C28"/>
      <c r="D28"/>
      <c r="E28"/>
      <c r="F28"/>
      <c r="G28"/>
    </row>
    <row r="29" spans="1:7" ht="16.5" customHeight="1">
      <c r="A29"/>
      <c r="B29"/>
      <c r="C29"/>
      <c r="D29"/>
      <c r="E29"/>
      <c r="F29"/>
      <c r="G29"/>
    </row>
    <row r="30" spans="1:7" ht="16.5" customHeight="1">
      <c r="A30"/>
      <c r="B30"/>
      <c r="C30"/>
      <c r="D30"/>
      <c r="E30"/>
      <c r="F30"/>
      <c r="G30"/>
    </row>
    <row r="31" spans="1:7" ht="16.5" customHeight="1">
      <c r="A31"/>
      <c r="B31"/>
      <c r="C31"/>
      <c r="D31"/>
      <c r="E31"/>
      <c r="F31"/>
      <c r="G31"/>
    </row>
    <row r="32" spans="1:7" ht="16.5" customHeight="1">
      <c r="A32"/>
      <c r="B32"/>
      <c r="C32"/>
      <c r="D32"/>
      <c r="E32"/>
      <c r="F32"/>
      <c r="G32"/>
    </row>
    <row r="33" spans="1:7" ht="16.5" customHeight="1">
      <c r="A33"/>
      <c r="B33"/>
      <c r="C33"/>
      <c r="D33"/>
      <c r="E33"/>
      <c r="F33"/>
      <c r="G33"/>
    </row>
    <row r="34" spans="1:7" ht="16.5" customHeight="1">
      <c r="A34"/>
      <c r="B34"/>
      <c r="C34"/>
      <c r="D34"/>
      <c r="E34"/>
      <c r="F34"/>
      <c r="G34"/>
    </row>
    <row r="35" spans="1:7" ht="16.5" customHeight="1">
      <c r="A35"/>
      <c r="B35"/>
      <c r="C35"/>
      <c r="D35"/>
      <c r="E35"/>
      <c r="F35"/>
      <c r="G35"/>
    </row>
    <row r="36" spans="1:7" ht="16.5" customHeight="1">
      <c r="A36"/>
      <c r="B36"/>
      <c r="C36"/>
      <c r="D36"/>
      <c r="E36"/>
      <c r="F36"/>
      <c r="G36"/>
    </row>
    <row r="37" spans="1:7" ht="16.5" customHeight="1">
      <c r="A37"/>
      <c r="B37"/>
      <c r="C37"/>
      <c r="D37"/>
      <c r="E37"/>
      <c r="F37"/>
      <c r="G37"/>
    </row>
    <row r="38" spans="1:7" ht="16.5" customHeight="1">
      <c r="A38"/>
      <c r="B38"/>
      <c r="C38"/>
      <c r="D38"/>
      <c r="E38"/>
      <c r="F38"/>
      <c r="G38"/>
    </row>
    <row r="39" spans="1:7" ht="16.5" customHeight="1">
      <c r="A39"/>
      <c r="B39"/>
      <c r="C39"/>
      <c r="D39"/>
      <c r="E39"/>
      <c r="F39"/>
      <c r="G39"/>
    </row>
    <row r="40" spans="1:7" ht="16.5" customHeight="1">
      <c r="A40"/>
      <c r="B40"/>
      <c r="C40"/>
      <c r="D40"/>
      <c r="E40"/>
      <c r="F40"/>
      <c r="G40"/>
    </row>
    <row r="41" spans="1:7" ht="16.5" customHeight="1">
      <c r="A41"/>
      <c r="B41"/>
      <c r="C41"/>
      <c r="D41"/>
      <c r="E41"/>
      <c r="F41"/>
      <c r="G41"/>
    </row>
    <row r="42" spans="1:7" ht="16.5" customHeight="1">
      <c r="A42"/>
      <c r="B42"/>
      <c r="C42"/>
      <c r="D42"/>
      <c r="E42"/>
      <c r="F42"/>
      <c r="G42"/>
    </row>
    <row r="43" spans="1:7" ht="16.5" customHeight="1">
      <c r="A43"/>
      <c r="B43"/>
      <c r="C43"/>
      <c r="D43"/>
      <c r="E43"/>
      <c r="F43"/>
      <c r="G43"/>
    </row>
    <row r="44" spans="1:7" ht="16.5" customHeight="1">
      <c r="A44"/>
      <c r="B44"/>
      <c r="C44"/>
      <c r="D44"/>
      <c r="E44"/>
      <c r="F44"/>
      <c r="G44"/>
    </row>
    <row r="45" spans="1:7" ht="16.5" customHeight="1">
      <c r="A45"/>
      <c r="B45"/>
      <c r="C45"/>
      <c r="D45"/>
      <c r="E45"/>
      <c r="F45"/>
      <c r="G45"/>
    </row>
    <row r="46" spans="1:7" ht="16.5" customHeight="1">
      <c r="A46"/>
      <c r="B46"/>
      <c r="C46"/>
      <c r="D46"/>
      <c r="E46"/>
      <c r="F46"/>
      <c r="G46"/>
    </row>
    <row r="47" spans="1:7" ht="16.5" customHeight="1">
      <c r="A47"/>
      <c r="B47"/>
      <c r="C47"/>
      <c r="D47"/>
      <c r="E47"/>
      <c r="F47"/>
      <c r="G47"/>
    </row>
    <row r="48" spans="1:7" ht="16.5" customHeight="1">
      <c r="A48"/>
      <c r="B48"/>
      <c r="C48"/>
      <c r="D48"/>
      <c r="E48"/>
      <c r="F48"/>
      <c r="G48"/>
    </row>
    <row r="49" spans="1:7" ht="16.5" customHeight="1">
      <c r="A49"/>
      <c r="B49"/>
      <c r="C49"/>
      <c r="D49"/>
      <c r="E49"/>
      <c r="F49"/>
      <c r="G49"/>
    </row>
    <row r="50" spans="1:7" ht="16.5" customHeight="1">
      <c r="A50"/>
      <c r="B50"/>
      <c r="C50"/>
      <c r="D50"/>
      <c r="E50"/>
      <c r="F50"/>
      <c r="G50"/>
    </row>
    <row r="51" spans="1:7" ht="16.5" customHeight="1">
      <c r="A51"/>
      <c r="B51"/>
      <c r="C51"/>
      <c r="D51"/>
      <c r="E51"/>
      <c r="F51"/>
      <c r="G51"/>
    </row>
    <row r="52" spans="1:7" ht="16.5" customHeight="1">
      <c r="A52"/>
      <c r="B52"/>
      <c r="C52"/>
      <c r="D52"/>
      <c r="E52"/>
      <c r="F52"/>
      <c r="G52"/>
    </row>
    <row r="53" spans="1:7" ht="16.5" customHeight="1">
      <c r="A53"/>
      <c r="B53"/>
      <c r="C53"/>
      <c r="D53"/>
      <c r="E53"/>
      <c r="F53"/>
      <c r="G53"/>
    </row>
    <row r="54" spans="1:7" ht="16.5" customHeight="1">
      <c r="A54"/>
      <c r="B54"/>
      <c r="C54"/>
      <c r="D54"/>
      <c r="E54"/>
      <c r="F54"/>
      <c r="G54"/>
    </row>
    <row r="55" spans="1:7" ht="16.5" customHeight="1">
      <c r="A55"/>
      <c r="B55"/>
      <c r="C55"/>
      <c r="D55"/>
      <c r="E55"/>
      <c r="F55"/>
      <c r="G55"/>
    </row>
    <row r="56" spans="1:7" ht="16.5" customHeight="1">
      <c r="A56"/>
      <c r="B56"/>
      <c r="C56"/>
      <c r="D56"/>
      <c r="E56"/>
      <c r="F56"/>
      <c r="G56"/>
    </row>
    <row r="57" spans="1:7" ht="16.5" customHeight="1">
      <c r="A57"/>
      <c r="B57"/>
      <c r="C57"/>
      <c r="D57"/>
      <c r="E57"/>
      <c r="F57"/>
      <c r="G57"/>
    </row>
    <row r="58" spans="1:7" ht="16.5" customHeight="1">
      <c r="A58"/>
      <c r="B58"/>
      <c r="C58"/>
      <c r="D58"/>
      <c r="E58"/>
      <c r="F58"/>
      <c r="G58"/>
    </row>
    <row r="59" spans="1:7" ht="16.5" customHeight="1">
      <c r="A59"/>
      <c r="B59"/>
      <c r="C59"/>
      <c r="D59"/>
      <c r="E59"/>
      <c r="F59"/>
      <c r="G59"/>
    </row>
    <row r="60" spans="1:7" ht="16.5" customHeight="1">
      <c r="A60"/>
      <c r="B60"/>
      <c r="C60"/>
      <c r="D60"/>
      <c r="E60"/>
      <c r="F60"/>
      <c r="G60"/>
    </row>
    <row r="61" spans="1:7" ht="16.5" customHeight="1">
      <c r="A61"/>
      <c r="B61"/>
      <c r="C61"/>
      <c r="D61"/>
      <c r="E61"/>
      <c r="F61"/>
      <c r="G61"/>
    </row>
    <row r="62" spans="1:7" ht="16.5" customHeight="1">
      <c r="A62"/>
      <c r="B62"/>
      <c r="C62"/>
      <c r="D62"/>
      <c r="E62"/>
      <c r="F62"/>
      <c r="G62"/>
    </row>
    <row r="63" spans="1:7" ht="16.5" customHeight="1">
      <c r="A63"/>
      <c r="B63"/>
      <c r="C63"/>
      <c r="D63"/>
      <c r="E63"/>
      <c r="F63"/>
      <c r="G63"/>
    </row>
    <row r="64" spans="1:7" ht="16.5" customHeight="1">
      <c r="A64"/>
      <c r="B64"/>
      <c r="C64"/>
      <c r="D64"/>
      <c r="E64"/>
      <c r="F64"/>
      <c r="G64"/>
    </row>
    <row r="65" spans="1:7" ht="16.5" customHeight="1">
      <c r="A65"/>
      <c r="B65"/>
      <c r="C65"/>
      <c r="D65"/>
      <c r="E65"/>
      <c r="F65"/>
      <c r="G65"/>
    </row>
    <row r="66" spans="1:7" ht="16.5" customHeight="1">
      <c r="A66"/>
      <c r="B66"/>
      <c r="C66"/>
      <c r="D66"/>
      <c r="E66"/>
      <c r="F66"/>
      <c r="G66"/>
    </row>
    <row r="67" spans="1:7" ht="16.5" customHeight="1">
      <c r="A67"/>
      <c r="B67"/>
      <c r="C67"/>
      <c r="D67"/>
      <c r="E67"/>
      <c r="F67"/>
      <c r="G67"/>
    </row>
    <row r="68" spans="1:7" ht="16.5" customHeight="1">
      <c r="A68"/>
      <c r="B68"/>
      <c r="C68"/>
      <c r="D68"/>
      <c r="E68"/>
      <c r="F68"/>
      <c r="G68"/>
    </row>
    <row r="69" spans="1:7" ht="16.5" customHeight="1">
      <c r="A69"/>
      <c r="B69"/>
      <c r="C69"/>
      <c r="D69"/>
      <c r="E69"/>
      <c r="F69"/>
      <c r="G69"/>
    </row>
    <row r="70" spans="1:7" ht="16.5" customHeight="1">
      <c r="A70"/>
      <c r="B70"/>
      <c r="C70"/>
      <c r="D70"/>
      <c r="E70"/>
      <c r="F70"/>
      <c r="G70"/>
    </row>
    <row r="71" spans="1:7" ht="16.5" customHeight="1">
      <c r="A71"/>
      <c r="B71"/>
      <c r="C71"/>
      <c r="D71"/>
      <c r="E71"/>
      <c r="F71"/>
      <c r="G71"/>
    </row>
    <row r="72" spans="1:7" ht="16.5" customHeight="1">
      <c r="A72"/>
      <c r="B72"/>
      <c r="C72"/>
      <c r="D72"/>
      <c r="E72"/>
      <c r="F72"/>
      <c r="G72"/>
    </row>
    <row r="73" spans="1:7" ht="16.5" customHeight="1">
      <c r="A73"/>
      <c r="B73"/>
      <c r="C73"/>
      <c r="D73"/>
      <c r="E73"/>
      <c r="F73"/>
      <c r="G73"/>
    </row>
    <row r="74" spans="1:7" ht="16.5" customHeight="1">
      <c r="A74"/>
      <c r="B74"/>
      <c r="C74"/>
      <c r="D74"/>
      <c r="E74"/>
      <c r="F74"/>
      <c r="G74"/>
    </row>
    <row r="75" spans="1:7" ht="16.5" customHeight="1">
      <c r="A75"/>
      <c r="B75"/>
      <c r="C75"/>
      <c r="D75"/>
      <c r="E75"/>
      <c r="F75"/>
      <c r="G75"/>
    </row>
    <row r="76" spans="1:7" ht="16.5" customHeight="1">
      <c r="A76"/>
      <c r="B76"/>
      <c r="C76"/>
      <c r="D76"/>
      <c r="E76"/>
      <c r="F76"/>
      <c r="G76"/>
    </row>
    <row r="77" spans="1:7" ht="16.5" customHeight="1">
      <c r="A77"/>
      <c r="B77"/>
      <c r="C77"/>
      <c r="D77"/>
      <c r="E77"/>
      <c r="F77"/>
      <c r="G77"/>
    </row>
    <row r="78" spans="1:7" ht="16.5" customHeight="1">
      <c r="A78"/>
      <c r="B78"/>
      <c r="C78"/>
      <c r="D78"/>
      <c r="E78"/>
      <c r="F78"/>
      <c r="G78"/>
    </row>
    <row r="79" spans="1:7" ht="16.5" customHeight="1">
      <c r="A79"/>
      <c r="B79"/>
      <c r="C79"/>
      <c r="D79"/>
      <c r="E79"/>
      <c r="F79"/>
      <c r="G79"/>
    </row>
    <row r="80" spans="1:7" ht="16.5" customHeight="1">
      <c r="A80"/>
      <c r="B80"/>
      <c r="C80"/>
      <c r="D80"/>
      <c r="E80"/>
      <c r="F80"/>
      <c r="G80"/>
    </row>
    <row r="81" spans="1:7" ht="16.5" customHeight="1">
      <c r="A81"/>
      <c r="B81"/>
      <c r="C81"/>
      <c r="D81"/>
      <c r="E81"/>
      <c r="F81"/>
      <c r="G81"/>
    </row>
    <row r="82" spans="1:7" ht="16.5" customHeight="1">
      <c r="A82"/>
      <c r="B82"/>
      <c r="C82"/>
      <c r="D82"/>
      <c r="E82"/>
      <c r="F82"/>
      <c r="G82"/>
    </row>
    <row r="83" spans="1:7" ht="16.5" customHeight="1">
      <c r="A83"/>
      <c r="B83"/>
      <c r="C83"/>
      <c r="D83"/>
      <c r="E83"/>
      <c r="F83"/>
      <c r="G83"/>
    </row>
    <row r="84" spans="1:7" ht="16.5" customHeight="1">
      <c r="A84"/>
      <c r="B84"/>
      <c r="C84"/>
      <c r="D84"/>
      <c r="E84"/>
      <c r="F84"/>
      <c r="G84"/>
    </row>
    <row r="85" spans="1:7" ht="16.5" customHeight="1">
      <c r="A85"/>
      <c r="B85"/>
      <c r="C85"/>
      <c r="D85"/>
      <c r="E85"/>
      <c r="F85"/>
      <c r="G85"/>
    </row>
    <row r="86" spans="1:7" ht="16.5" customHeight="1">
      <c r="A86"/>
      <c r="B86"/>
      <c r="C86"/>
      <c r="D86"/>
      <c r="E86"/>
      <c r="F86"/>
      <c r="G86"/>
    </row>
    <row r="87" spans="1:7" ht="16.5" customHeight="1">
      <c r="A87"/>
      <c r="B87"/>
      <c r="C87"/>
      <c r="D87"/>
      <c r="E87"/>
      <c r="F87"/>
      <c r="G87"/>
    </row>
    <row r="88" spans="1:7" ht="16.5" customHeight="1">
      <c r="A88"/>
      <c r="B88"/>
      <c r="C88"/>
      <c r="D88"/>
      <c r="E88"/>
      <c r="F88"/>
      <c r="G88"/>
    </row>
    <row r="89" spans="1:7" ht="16.5" customHeight="1">
      <c r="A89"/>
      <c r="B89"/>
      <c r="C89"/>
      <c r="D89"/>
      <c r="E89"/>
      <c r="F89"/>
      <c r="G89"/>
    </row>
    <row r="90" spans="1:7" ht="16.5" customHeight="1">
      <c r="A90"/>
      <c r="B90"/>
      <c r="C90"/>
      <c r="D90"/>
      <c r="E90"/>
      <c r="F90"/>
      <c r="G90"/>
    </row>
    <row r="91" spans="1:7" ht="16.5" customHeight="1">
      <c r="A91"/>
      <c r="B91"/>
      <c r="C91"/>
      <c r="D91"/>
      <c r="E91"/>
      <c r="F91"/>
      <c r="G91"/>
    </row>
    <row r="92" spans="1:7" ht="16.5" customHeight="1">
      <c r="A92"/>
      <c r="B92"/>
      <c r="C92"/>
      <c r="D92"/>
      <c r="E92"/>
      <c r="F92"/>
      <c r="G92"/>
    </row>
    <row r="93" spans="1:7" ht="16.5" customHeight="1">
      <c r="A93"/>
      <c r="B93"/>
      <c r="C93"/>
      <c r="D93"/>
      <c r="E93"/>
      <c r="F93"/>
      <c r="G93"/>
    </row>
    <row r="94" spans="1:7" ht="16.5" customHeight="1">
      <c r="A94"/>
      <c r="B94"/>
      <c r="C94"/>
      <c r="D94"/>
      <c r="E94"/>
      <c r="F94"/>
      <c r="G94"/>
    </row>
    <row r="95" spans="1:7" ht="16.5" customHeight="1">
      <c r="A95"/>
      <c r="B95"/>
      <c r="C95"/>
      <c r="D95"/>
      <c r="E95"/>
      <c r="F95"/>
      <c r="G95"/>
    </row>
    <row r="96" spans="1:7" ht="16.5" customHeight="1">
      <c r="A96"/>
      <c r="B96"/>
      <c r="C96"/>
      <c r="D96"/>
      <c r="E96"/>
      <c r="F96"/>
      <c r="G96"/>
    </row>
    <row r="97" spans="1:7" ht="16.5" customHeight="1">
      <c r="A97"/>
      <c r="B97"/>
      <c r="C97"/>
      <c r="D97"/>
      <c r="E97"/>
      <c r="F97"/>
      <c r="G97"/>
    </row>
    <row r="98" spans="1:7" ht="16.5" customHeight="1">
      <c r="A98"/>
      <c r="B98"/>
      <c r="C98"/>
      <c r="D98"/>
      <c r="E98"/>
      <c r="F98"/>
      <c r="G98"/>
    </row>
    <row r="99" spans="1:7" ht="16.5" customHeight="1">
      <c r="A99"/>
      <c r="B99"/>
      <c r="C99"/>
      <c r="D99"/>
      <c r="E99"/>
      <c r="F99"/>
      <c r="G99"/>
    </row>
    <row r="100" spans="1:7" ht="16.5" customHeight="1">
      <c r="A100"/>
      <c r="B100"/>
      <c r="C100"/>
      <c r="D100"/>
      <c r="E100"/>
      <c r="F100"/>
      <c r="G100"/>
    </row>
    <row r="101" spans="1:7" ht="16.5" customHeight="1">
      <c r="A101"/>
      <c r="B101"/>
      <c r="C101"/>
      <c r="D101"/>
      <c r="E101"/>
      <c r="F101"/>
      <c r="G101"/>
    </row>
    <row r="102" spans="1:7" ht="16.5" customHeight="1">
      <c r="A102"/>
      <c r="B102"/>
      <c r="C102"/>
      <c r="D102"/>
      <c r="E102"/>
      <c r="F102"/>
      <c r="G102"/>
    </row>
    <row r="103" spans="1:7" ht="16.5" customHeight="1">
      <c r="A103"/>
      <c r="B103"/>
      <c r="C103"/>
      <c r="D103"/>
      <c r="E103"/>
      <c r="F103"/>
      <c r="G103"/>
    </row>
    <row r="104" spans="1:7" ht="16.5" customHeight="1">
      <c r="A104"/>
      <c r="B104"/>
      <c r="C104"/>
      <c r="D104"/>
      <c r="E104"/>
      <c r="F104"/>
      <c r="G104"/>
    </row>
    <row r="105" spans="1:7" ht="16.5" customHeight="1">
      <c r="A105"/>
      <c r="B105"/>
      <c r="C105"/>
      <c r="D105"/>
      <c r="E105"/>
      <c r="F105"/>
      <c r="G105"/>
    </row>
    <row r="106" spans="1:7" ht="16.5" customHeight="1">
      <c r="A106"/>
      <c r="B106"/>
      <c r="C106"/>
      <c r="D106"/>
      <c r="E106"/>
      <c r="F106"/>
      <c r="G106"/>
    </row>
    <row r="107" spans="1:7" ht="16.5" customHeight="1">
      <c r="A107"/>
      <c r="B107"/>
      <c r="C107"/>
      <c r="D107"/>
      <c r="E107"/>
      <c r="F107"/>
      <c r="G107"/>
    </row>
    <row r="108" spans="1:7" ht="16.5" customHeight="1">
      <c r="A108"/>
      <c r="B108"/>
      <c r="C108"/>
      <c r="D108"/>
      <c r="E108"/>
      <c r="F108"/>
      <c r="G108"/>
    </row>
    <row r="109" spans="1:7" ht="16.5" customHeight="1">
      <c r="A109"/>
      <c r="B109"/>
      <c r="C109"/>
      <c r="D109"/>
      <c r="E109"/>
      <c r="F109"/>
      <c r="G109"/>
    </row>
    <row r="110" spans="1:7" ht="16.5" customHeight="1">
      <c r="A110"/>
      <c r="B110"/>
      <c r="C110"/>
      <c r="D110"/>
      <c r="E110"/>
      <c r="F110"/>
      <c r="G110"/>
    </row>
    <row r="111" spans="1:7" ht="16.5" customHeight="1">
      <c r="A111"/>
      <c r="B111"/>
      <c r="C111"/>
      <c r="D111"/>
      <c r="E111"/>
      <c r="F111"/>
      <c r="G111"/>
    </row>
    <row r="112" spans="1:7" ht="16.5" customHeight="1">
      <c r="A112"/>
      <c r="B112"/>
      <c r="C112"/>
      <c r="D112"/>
      <c r="E112"/>
      <c r="F112"/>
      <c r="G112"/>
    </row>
    <row r="113" spans="1:7" ht="16.5" customHeight="1">
      <c r="A113"/>
      <c r="B113"/>
      <c r="C113"/>
      <c r="D113"/>
      <c r="E113"/>
      <c r="F113"/>
      <c r="G113"/>
    </row>
    <row r="114" spans="1:7" ht="16.5" customHeight="1">
      <c r="A114"/>
      <c r="B114"/>
      <c r="C114"/>
      <c r="D114"/>
      <c r="E114"/>
      <c r="F114"/>
      <c r="G114"/>
    </row>
    <row r="115" spans="1:7" ht="16.5" customHeight="1">
      <c r="A115"/>
      <c r="B115"/>
      <c r="C115"/>
      <c r="D115"/>
      <c r="E115"/>
      <c r="F115"/>
      <c r="G115"/>
    </row>
    <row r="116" spans="1:7" ht="16.5" customHeight="1">
      <c r="A116"/>
      <c r="B116"/>
      <c r="C116"/>
      <c r="D116"/>
      <c r="E116"/>
      <c r="F116"/>
      <c r="G116"/>
    </row>
    <row r="117" spans="1:7" ht="16.5" customHeight="1">
      <c r="A117"/>
      <c r="B117"/>
      <c r="C117"/>
      <c r="D117"/>
      <c r="E117"/>
      <c r="F117"/>
      <c r="G117"/>
    </row>
    <row r="118" spans="1:7" ht="16.5" customHeight="1">
      <c r="A118"/>
      <c r="B118"/>
      <c r="C118"/>
      <c r="D118"/>
      <c r="E118"/>
      <c r="F118"/>
      <c r="G118"/>
    </row>
    <row r="119" spans="1:7" ht="16.5" customHeight="1">
      <c r="A119"/>
      <c r="B119"/>
      <c r="C119"/>
      <c r="D119"/>
      <c r="E119"/>
      <c r="F119"/>
      <c r="G119"/>
    </row>
    <row r="120" spans="1:7" ht="16.5" customHeight="1">
      <c r="A120"/>
      <c r="B120"/>
      <c r="C120"/>
      <c r="D120"/>
      <c r="E120"/>
      <c r="F120"/>
      <c r="G120"/>
    </row>
    <row r="121" spans="1:7" ht="16.5" customHeight="1">
      <c r="A121"/>
      <c r="B121"/>
      <c r="C121"/>
      <c r="D121"/>
      <c r="E121"/>
      <c r="F121"/>
      <c r="G121"/>
    </row>
    <row r="122" spans="1:7" ht="16.5" customHeight="1">
      <c r="A122"/>
      <c r="B122"/>
      <c r="C122"/>
      <c r="D122"/>
      <c r="E122"/>
      <c r="F122"/>
      <c r="G122"/>
    </row>
    <row r="123" spans="1:7" ht="16.5" customHeight="1">
      <c r="A123"/>
      <c r="B123"/>
      <c r="C123"/>
      <c r="D123"/>
      <c r="E123"/>
      <c r="F123"/>
      <c r="G123"/>
    </row>
    <row r="124" spans="1:7" ht="16.5" customHeight="1">
      <c r="A124"/>
      <c r="B124"/>
      <c r="C124"/>
      <c r="D124"/>
      <c r="E124"/>
      <c r="F124"/>
      <c r="G124"/>
    </row>
    <row r="125" spans="1:7" ht="16.5" customHeight="1">
      <c r="A125"/>
      <c r="B125"/>
      <c r="C125"/>
      <c r="D125"/>
      <c r="E125"/>
      <c r="F125"/>
      <c r="G125"/>
    </row>
    <row r="126" spans="1:7" ht="16.5" customHeight="1">
      <c r="A126"/>
      <c r="B126"/>
      <c r="C126"/>
      <c r="D126"/>
      <c r="E126"/>
      <c r="F126"/>
      <c r="G126"/>
    </row>
    <row r="127" spans="1:7" ht="16.5" customHeight="1">
      <c r="A127"/>
      <c r="B127"/>
      <c r="C127"/>
      <c r="D127"/>
      <c r="E127"/>
      <c r="F127"/>
      <c r="G127"/>
    </row>
    <row r="128" spans="1:7" ht="16.5" customHeight="1">
      <c r="A128"/>
      <c r="B128"/>
      <c r="C128"/>
      <c r="D128"/>
      <c r="E128"/>
      <c r="F128"/>
      <c r="G128"/>
    </row>
    <row r="129" spans="1:7" ht="16.5" customHeight="1">
      <c r="A129"/>
      <c r="B129"/>
      <c r="C129"/>
      <c r="D129"/>
      <c r="E129"/>
      <c r="F129"/>
      <c r="G129"/>
    </row>
    <row r="130" spans="1:7" ht="16.5" customHeight="1">
      <c r="A130"/>
      <c r="B130"/>
      <c r="C130"/>
      <c r="D130"/>
      <c r="E130"/>
      <c r="F130"/>
      <c r="G130"/>
    </row>
    <row r="131" spans="1:7" ht="16.5" customHeight="1">
      <c r="A131"/>
      <c r="B131"/>
      <c r="C131"/>
      <c r="D131"/>
      <c r="E131"/>
      <c r="F131"/>
      <c r="G131"/>
    </row>
    <row r="132" spans="1:7" ht="16.5" customHeight="1">
      <c r="A132"/>
      <c r="B132"/>
      <c r="C132"/>
      <c r="D132"/>
      <c r="E132"/>
      <c r="F132"/>
      <c r="G132"/>
    </row>
    <row r="133" spans="1:7" ht="16.5" customHeight="1">
      <c r="A133"/>
      <c r="B133"/>
      <c r="C133"/>
      <c r="D133"/>
      <c r="E133"/>
      <c r="F133"/>
      <c r="G133"/>
    </row>
    <row r="134" spans="1:7" ht="16.5" customHeight="1">
      <c r="A134"/>
      <c r="B134"/>
      <c r="C134"/>
      <c r="D134"/>
      <c r="E134"/>
      <c r="F134"/>
      <c r="G134"/>
    </row>
    <row r="135" spans="1:7" ht="16.5" customHeight="1">
      <c r="A135"/>
      <c r="B135"/>
      <c r="C135"/>
      <c r="D135"/>
      <c r="E135"/>
      <c r="F135"/>
      <c r="G135"/>
    </row>
    <row r="136" spans="1:7" ht="16.5" customHeight="1">
      <c r="A136"/>
      <c r="B136"/>
      <c r="C136"/>
      <c r="D136"/>
      <c r="E136"/>
      <c r="F136"/>
      <c r="G136"/>
    </row>
    <row r="137" spans="1:7" ht="16.5" customHeight="1">
      <c r="A137"/>
      <c r="B137"/>
      <c r="C137"/>
      <c r="D137"/>
      <c r="E137"/>
      <c r="F137"/>
      <c r="G137"/>
    </row>
    <row r="138" spans="1:7" ht="16.5" customHeight="1">
      <c r="A138"/>
      <c r="B138"/>
      <c r="C138"/>
      <c r="D138"/>
      <c r="E138"/>
      <c r="F138"/>
      <c r="G138"/>
    </row>
    <row r="139" spans="1:7" ht="16.5" customHeight="1">
      <c r="A139"/>
      <c r="B139"/>
      <c r="C139"/>
      <c r="D139"/>
      <c r="E139"/>
      <c r="F139"/>
      <c r="G139"/>
    </row>
    <row r="140" spans="1:7" ht="16.5" customHeight="1">
      <c r="A140"/>
      <c r="B140"/>
      <c r="C140"/>
      <c r="D140"/>
      <c r="E140"/>
      <c r="F140"/>
      <c r="G140"/>
    </row>
    <row r="141" spans="1:7" ht="16.5" customHeight="1">
      <c r="A141"/>
      <c r="B141"/>
      <c r="C141"/>
      <c r="D141"/>
      <c r="E141"/>
      <c r="F141"/>
      <c r="G141"/>
    </row>
    <row r="142" spans="1:7" ht="16.5" customHeight="1">
      <c r="A142"/>
      <c r="B142"/>
      <c r="C142"/>
      <c r="D142"/>
      <c r="E142"/>
      <c r="F142"/>
      <c r="G142"/>
    </row>
    <row r="143" spans="1:7" ht="16.5" customHeight="1">
      <c r="A143"/>
      <c r="B143"/>
      <c r="C143"/>
      <c r="D143"/>
      <c r="E143"/>
      <c r="F143"/>
      <c r="G143"/>
    </row>
    <row r="144" spans="1:7" ht="16.5" customHeight="1">
      <c r="A144"/>
      <c r="B144"/>
      <c r="C144"/>
      <c r="D144"/>
      <c r="E144"/>
      <c r="F144"/>
      <c r="G144"/>
    </row>
    <row r="145" spans="1:7" ht="16.5" customHeight="1">
      <c r="A145"/>
      <c r="B145"/>
      <c r="C145"/>
      <c r="D145"/>
      <c r="E145"/>
      <c r="F145"/>
      <c r="G145"/>
    </row>
    <row r="146" spans="1:7" ht="16.5" customHeight="1">
      <c r="A146"/>
      <c r="B146"/>
      <c r="C146"/>
      <c r="D146"/>
      <c r="E146"/>
      <c r="F146"/>
      <c r="G146"/>
    </row>
    <row r="147" spans="1:7" ht="16.5" customHeight="1">
      <c r="A147"/>
      <c r="B147"/>
      <c r="C147"/>
      <c r="D147"/>
      <c r="E147"/>
      <c r="F147"/>
      <c r="G147"/>
    </row>
    <row r="148" spans="1:7" ht="16.5" customHeight="1">
      <c r="A148"/>
      <c r="B148"/>
      <c r="C148"/>
      <c r="D148"/>
      <c r="E148"/>
      <c r="F148"/>
      <c r="G148"/>
    </row>
    <row r="149" spans="1:7" ht="16.5" customHeight="1">
      <c r="A149"/>
      <c r="B149"/>
      <c r="C149"/>
      <c r="D149"/>
      <c r="E149"/>
      <c r="F149"/>
      <c r="G149"/>
    </row>
    <row r="150" spans="1:7" ht="16.5" customHeight="1">
      <c r="A150"/>
      <c r="B150"/>
      <c r="C150"/>
      <c r="D150"/>
      <c r="E150"/>
      <c r="F150"/>
      <c r="G150"/>
    </row>
    <row r="151" spans="1:7" ht="16.5" customHeight="1">
      <c r="A151"/>
      <c r="B151"/>
      <c r="C151"/>
      <c r="D151"/>
      <c r="E151"/>
      <c r="F151"/>
      <c r="G151"/>
    </row>
    <row r="152" spans="1:7" ht="16.5" customHeight="1">
      <c r="A152"/>
      <c r="B152"/>
      <c r="C152"/>
      <c r="D152"/>
      <c r="E152"/>
      <c r="F152"/>
      <c r="G152"/>
    </row>
    <row r="153" spans="1:7" ht="16.5" customHeight="1">
      <c r="A153"/>
      <c r="B153"/>
      <c r="C153"/>
      <c r="D153"/>
      <c r="E153"/>
      <c r="F153"/>
      <c r="G153"/>
    </row>
    <row r="154" spans="1:7" ht="16.5" customHeight="1">
      <c r="A154"/>
      <c r="B154"/>
      <c r="C154"/>
      <c r="D154"/>
      <c r="E154"/>
      <c r="F154"/>
      <c r="G154"/>
    </row>
    <row r="155" spans="1:7" ht="16.5" customHeight="1">
      <c r="A155"/>
      <c r="B155"/>
      <c r="C155"/>
      <c r="D155"/>
      <c r="E155"/>
      <c r="F155"/>
      <c r="G155"/>
    </row>
    <row r="156" spans="1:7" ht="16.5" customHeight="1">
      <c r="A156"/>
      <c r="B156"/>
      <c r="C156"/>
      <c r="D156"/>
      <c r="E156"/>
      <c r="F156"/>
      <c r="G156"/>
    </row>
    <row r="157" spans="1:7" ht="16.5" customHeight="1">
      <c r="A157"/>
      <c r="B157"/>
      <c r="C157"/>
      <c r="D157"/>
      <c r="E157"/>
      <c r="F157"/>
      <c r="G157"/>
    </row>
    <row r="158" spans="1:7" ht="16.5" customHeight="1">
      <c r="A158"/>
      <c r="B158"/>
      <c r="C158"/>
      <c r="D158"/>
      <c r="E158"/>
      <c r="F158"/>
      <c r="G158"/>
    </row>
    <row r="159" spans="1:7" ht="16.5" customHeight="1">
      <c r="A159"/>
      <c r="B159"/>
      <c r="C159"/>
      <c r="D159"/>
      <c r="E159"/>
      <c r="F159"/>
      <c r="G159"/>
    </row>
    <row r="160" spans="1:7" ht="16.5" customHeight="1">
      <c r="A160"/>
      <c r="B160"/>
      <c r="C160"/>
      <c r="D160"/>
      <c r="E160"/>
      <c r="F160"/>
      <c r="G160"/>
    </row>
    <row r="161" spans="1:7" ht="16.5" customHeight="1">
      <c r="A161"/>
      <c r="B161"/>
      <c r="C161"/>
      <c r="D161"/>
      <c r="E161"/>
      <c r="F161"/>
      <c r="G161"/>
    </row>
    <row r="162" spans="1:7" ht="16.5" customHeight="1">
      <c r="A162"/>
      <c r="B162"/>
      <c r="C162"/>
      <c r="D162"/>
      <c r="E162"/>
      <c r="F162"/>
      <c r="G162"/>
    </row>
    <row r="163" spans="1:7" ht="16.5" customHeight="1">
      <c r="A163"/>
      <c r="B163"/>
      <c r="C163"/>
      <c r="D163"/>
      <c r="E163"/>
      <c r="F163"/>
      <c r="G163"/>
    </row>
    <row r="164" spans="1:7" ht="16.5" customHeight="1">
      <c r="A164"/>
      <c r="B164"/>
      <c r="C164"/>
      <c r="D164"/>
      <c r="E164"/>
      <c r="F164"/>
      <c r="G164"/>
    </row>
    <row r="165" spans="1:7" ht="16.5" customHeight="1">
      <c r="A165"/>
      <c r="B165"/>
      <c r="C165"/>
      <c r="D165"/>
      <c r="E165"/>
      <c r="F165"/>
      <c r="G165"/>
    </row>
    <row r="166" spans="1:7" ht="16.5" customHeight="1">
      <c r="A166"/>
      <c r="B166"/>
      <c r="C166"/>
      <c r="D166"/>
      <c r="E166"/>
      <c r="F166"/>
      <c r="G166"/>
    </row>
    <row r="167" spans="1:7" ht="16.5" customHeight="1">
      <c r="A167"/>
      <c r="B167"/>
      <c r="C167"/>
      <c r="D167"/>
      <c r="E167"/>
      <c r="F167"/>
      <c r="G167"/>
    </row>
    <row r="168" spans="1:7" ht="16.5" customHeight="1">
      <c r="A168"/>
      <c r="B168"/>
      <c r="C168"/>
      <c r="D168"/>
      <c r="E168"/>
      <c r="F168"/>
      <c r="G168"/>
    </row>
    <row r="169" spans="1:7" ht="16.5" customHeight="1">
      <c r="A169"/>
      <c r="B169"/>
      <c r="C169"/>
      <c r="D169"/>
      <c r="E169"/>
      <c r="F169"/>
      <c r="G169"/>
    </row>
    <row r="170" spans="1:7" ht="16.5" customHeight="1">
      <c r="A170"/>
      <c r="B170"/>
      <c r="C170"/>
      <c r="D170"/>
      <c r="E170"/>
      <c r="F170"/>
      <c r="G170"/>
    </row>
    <row r="171" spans="1:7" ht="16.5" customHeight="1">
      <c r="A171"/>
      <c r="B171"/>
      <c r="C171"/>
      <c r="D171"/>
      <c r="E171"/>
      <c r="F171"/>
      <c r="G171"/>
    </row>
    <row r="172" spans="1:7" ht="16.5" customHeight="1">
      <c r="A172"/>
      <c r="B172"/>
      <c r="C172"/>
      <c r="D172"/>
      <c r="E172"/>
      <c r="F172"/>
      <c r="G172"/>
    </row>
    <row r="173" spans="1:7" ht="16.5" customHeight="1">
      <c r="A173"/>
      <c r="B173"/>
      <c r="C173"/>
      <c r="D173"/>
      <c r="E173"/>
      <c r="F173"/>
      <c r="G173"/>
    </row>
    <row r="174" spans="1:7" ht="16.5" customHeight="1">
      <c r="A174"/>
      <c r="B174"/>
      <c r="C174"/>
      <c r="D174"/>
      <c r="E174"/>
      <c r="F174"/>
      <c r="G174"/>
    </row>
    <row r="175" spans="1:7" ht="16.5" customHeight="1">
      <c r="A175"/>
      <c r="B175"/>
      <c r="C175"/>
      <c r="D175"/>
      <c r="E175"/>
      <c r="F175"/>
      <c r="G175"/>
    </row>
    <row r="176" spans="1:7" ht="16.5" customHeight="1">
      <c r="A176"/>
      <c r="B176"/>
      <c r="C176"/>
      <c r="D176"/>
      <c r="E176"/>
      <c r="F176"/>
      <c r="G176"/>
    </row>
    <row r="177" spans="1:7" ht="16.5" customHeight="1">
      <c r="A177"/>
      <c r="B177"/>
      <c r="C177"/>
      <c r="D177"/>
      <c r="E177"/>
      <c r="F177"/>
      <c r="G177"/>
    </row>
    <row r="178" spans="1:7" ht="16.5" customHeight="1">
      <c r="A178"/>
      <c r="B178"/>
      <c r="C178"/>
      <c r="D178"/>
      <c r="E178"/>
      <c r="F178"/>
      <c r="G178"/>
    </row>
    <row r="179" spans="1:7" ht="16.5" customHeight="1">
      <c r="A179"/>
      <c r="B179"/>
      <c r="C179"/>
      <c r="D179"/>
      <c r="E179"/>
      <c r="F179"/>
      <c r="G179"/>
    </row>
    <row r="180" spans="1:7" ht="16.5" customHeight="1">
      <c r="A180"/>
      <c r="B180"/>
      <c r="C180"/>
      <c r="D180"/>
      <c r="E180"/>
      <c r="F180"/>
      <c r="G180"/>
    </row>
    <row r="181" spans="1:7" ht="16.5" customHeight="1">
      <c r="A181"/>
      <c r="B181"/>
      <c r="C181"/>
      <c r="D181"/>
      <c r="E181"/>
      <c r="F181"/>
      <c r="G181"/>
    </row>
    <row r="182" spans="1:7" ht="16.5" customHeight="1">
      <c r="A182"/>
      <c r="B182"/>
      <c r="C182"/>
      <c r="D182"/>
      <c r="E182"/>
      <c r="F182"/>
      <c r="G182"/>
    </row>
    <row r="183" spans="1:7" ht="16.5" customHeight="1">
      <c r="A183"/>
      <c r="B183"/>
      <c r="C183"/>
      <c r="D183"/>
      <c r="E183"/>
      <c r="F183"/>
      <c r="G183"/>
    </row>
    <row r="184" spans="1:7" ht="16.5" customHeight="1">
      <c r="A184"/>
      <c r="B184"/>
      <c r="C184"/>
      <c r="D184"/>
      <c r="E184"/>
      <c r="F184"/>
      <c r="G184"/>
    </row>
    <row r="185" spans="1:7" ht="16.5" customHeight="1">
      <c r="A185"/>
      <c r="B185"/>
      <c r="C185"/>
      <c r="D185"/>
      <c r="E185"/>
      <c r="F185"/>
      <c r="G185"/>
    </row>
    <row r="186" spans="1:7" ht="16.5" customHeight="1">
      <c r="A186"/>
      <c r="B186"/>
      <c r="C186"/>
      <c r="D186"/>
      <c r="E186"/>
      <c r="F186"/>
      <c r="G186"/>
    </row>
    <row r="187" spans="1:7" ht="16.5" customHeight="1">
      <c r="A187"/>
      <c r="B187"/>
      <c r="C187"/>
      <c r="D187"/>
      <c r="E187"/>
      <c r="F187"/>
      <c r="G187"/>
    </row>
    <row r="188" spans="1:7" ht="16.5" customHeight="1">
      <c r="A188"/>
      <c r="B188"/>
      <c r="C188"/>
      <c r="D188"/>
      <c r="E188"/>
      <c r="F188"/>
      <c r="G188"/>
    </row>
    <row r="189" spans="1:7" ht="16.5" customHeight="1">
      <c r="A189"/>
      <c r="B189"/>
      <c r="C189"/>
      <c r="D189"/>
      <c r="E189"/>
      <c r="F189"/>
      <c r="G189"/>
    </row>
    <row r="190" spans="1:7" ht="16.5" customHeight="1">
      <c r="A190"/>
      <c r="B190"/>
      <c r="C190"/>
      <c r="D190"/>
      <c r="E190"/>
      <c r="F190"/>
      <c r="G190"/>
    </row>
    <row r="191" spans="1:7" ht="16.5" customHeight="1">
      <c r="A191"/>
      <c r="B191"/>
      <c r="C191"/>
      <c r="D191"/>
      <c r="E191"/>
      <c r="F191"/>
      <c r="G191"/>
    </row>
    <row r="192" spans="1:7" ht="16.5" customHeight="1">
      <c r="A192"/>
      <c r="B192"/>
      <c r="C192"/>
      <c r="D192"/>
      <c r="E192"/>
      <c r="F192"/>
      <c r="G192"/>
    </row>
    <row r="193" spans="1:7" ht="16.5" customHeight="1">
      <c r="A193"/>
      <c r="B193"/>
      <c r="C193"/>
      <c r="D193"/>
      <c r="E193"/>
      <c r="F193"/>
      <c r="G193"/>
    </row>
    <row r="194" spans="1:7" ht="16.5" customHeight="1">
      <c r="A194"/>
      <c r="B194"/>
      <c r="C194"/>
      <c r="D194"/>
      <c r="E194"/>
      <c r="F194"/>
      <c r="G194"/>
    </row>
    <row r="195" spans="1:7" ht="16.5" customHeight="1">
      <c r="A195"/>
      <c r="B195"/>
      <c r="C195"/>
      <c r="D195"/>
      <c r="E195"/>
      <c r="F195"/>
      <c r="G195"/>
    </row>
    <row r="196" spans="1:7" ht="16.5" customHeight="1">
      <c r="A196"/>
      <c r="B196"/>
      <c r="C196"/>
      <c r="D196"/>
      <c r="E196"/>
      <c r="F196"/>
      <c r="G196"/>
    </row>
    <row r="197" spans="1:7" ht="16.5" customHeight="1">
      <c r="A197"/>
      <c r="B197"/>
      <c r="C197"/>
      <c r="D197"/>
      <c r="E197"/>
      <c r="F197"/>
      <c r="G197"/>
    </row>
    <row r="198" spans="1:7" ht="16.5" customHeight="1">
      <c r="A198"/>
      <c r="B198"/>
      <c r="C198"/>
      <c r="D198"/>
      <c r="E198"/>
      <c r="F198"/>
      <c r="G198"/>
    </row>
    <row r="199" spans="1:7" ht="16.5" customHeight="1">
      <c r="A199"/>
      <c r="B199"/>
      <c r="C199"/>
      <c r="D199"/>
      <c r="E199"/>
      <c r="F199"/>
      <c r="G199"/>
    </row>
    <row r="200" spans="1:7" ht="16.5" customHeight="1">
      <c r="A200"/>
      <c r="B200"/>
      <c r="C200"/>
      <c r="D200"/>
      <c r="E200"/>
      <c r="F200"/>
      <c r="G200"/>
    </row>
    <row r="201" spans="1:7" ht="16.5" customHeight="1">
      <c r="A201"/>
      <c r="B201"/>
      <c r="C201"/>
      <c r="D201"/>
      <c r="E201"/>
      <c r="F201"/>
      <c r="G201"/>
    </row>
    <row r="202" spans="1:7" ht="16.5" customHeight="1">
      <c r="A202"/>
      <c r="B202"/>
      <c r="C202"/>
      <c r="D202"/>
      <c r="E202"/>
      <c r="F202"/>
      <c r="G202"/>
    </row>
    <row r="203" spans="1:7" ht="16.5" customHeight="1">
      <c r="A203"/>
      <c r="B203"/>
      <c r="C203"/>
      <c r="D203"/>
      <c r="E203"/>
      <c r="F203"/>
      <c r="G203"/>
    </row>
    <row r="204" spans="1:7" ht="16.5" customHeight="1">
      <c r="A204"/>
      <c r="B204"/>
      <c r="C204"/>
      <c r="D204"/>
      <c r="E204"/>
      <c r="F204"/>
      <c r="G204"/>
    </row>
    <row r="205" spans="1:7" ht="16.5" customHeight="1">
      <c r="A205"/>
      <c r="B205"/>
      <c r="C205"/>
      <c r="D205"/>
      <c r="E205"/>
      <c r="F205"/>
      <c r="G205"/>
    </row>
    <row r="206" spans="1:7" ht="16.5" customHeight="1">
      <c r="A206"/>
      <c r="B206"/>
      <c r="C206"/>
      <c r="D206"/>
      <c r="E206"/>
      <c r="F206"/>
      <c r="G206"/>
    </row>
    <row r="207" spans="1:7" ht="16.5" customHeight="1">
      <c r="A207"/>
      <c r="B207"/>
      <c r="C207"/>
      <c r="D207"/>
      <c r="E207"/>
      <c r="F207"/>
      <c r="G207"/>
    </row>
    <row r="208" spans="1:7" ht="16.5" customHeight="1">
      <c r="A208"/>
      <c r="B208"/>
      <c r="C208"/>
      <c r="D208"/>
      <c r="E208"/>
      <c r="F208"/>
      <c r="G208"/>
    </row>
    <row r="209" spans="1:7" ht="16.5" customHeight="1">
      <c r="A209"/>
      <c r="B209"/>
      <c r="C209"/>
      <c r="D209"/>
      <c r="E209"/>
      <c r="F209"/>
      <c r="G209"/>
    </row>
    <row r="210" spans="1:7" ht="16.5" customHeight="1">
      <c r="A210"/>
      <c r="B210"/>
      <c r="C210"/>
      <c r="D210"/>
      <c r="E210"/>
      <c r="F210"/>
      <c r="G210"/>
    </row>
    <row r="211" spans="1:7" ht="16.5" customHeight="1">
      <c r="A211"/>
      <c r="B211"/>
      <c r="C211"/>
      <c r="D211"/>
      <c r="E211"/>
      <c r="F211"/>
      <c r="G211"/>
    </row>
    <row r="212" spans="1:7" ht="16.5" customHeight="1">
      <c r="A212"/>
      <c r="B212"/>
      <c r="C212"/>
      <c r="D212"/>
      <c r="E212"/>
      <c r="F212"/>
      <c r="G212"/>
    </row>
    <row r="213" spans="1:7" ht="16.5" customHeight="1">
      <c r="A213"/>
      <c r="B213"/>
      <c r="C213"/>
      <c r="D213"/>
      <c r="E213"/>
      <c r="F213"/>
      <c r="G213"/>
    </row>
    <row r="214" spans="1:7" ht="16.5" customHeight="1">
      <c r="A214"/>
      <c r="B214"/>
      <c r="C214"/>
      <c r="D214"/>
      <c r="E214"/>
      <c r="F214"/>
      <c r="G214"/>
    </row>
    <row r="215" spans="1:7" ht="16.5" customHeight="1">
      <c r="A215"/>
      <c r="B215"/>
      <c r="C215"/>
      <c r="D215"/>
      <c r="E215"/>
      <c r="F215"/>
      <c r="G215"/>
    </row>
    <row r="216" spans="1:7" ht="16.5" customHeight="1">
      <c r="A216"/>
      <c r="B216"/>
      <c r="C216"/>
      <c r="D216"/>
      <c r="E216"/>
      <c r="F216"/>
      <c r="G216"/>
    </row>
    <row r="217" spans="1:7" ht="16.5" customHeight="1">
      <c r="A217"/>
      <c r="B217"/>
      <c r="C217"/>
      <c r="D217"/>
      <c r="E217"/>
      <c r="F217"/>
      <c r="G217"/>
    </row>
    <row r="218" spans="1:7" ht="16.5" customHeight="1">
      <c r="A218"/>
      <c r="B218"/>
      <c r="C218"/>
      <c r="D218"/>
      <c r="E218"/>
      <c r="F218"/>
      <c r="G218"/>
    </row>
    <row r="219" spans="1:7" ht="16.5" customHeight="1">
      <c r="A219"/>
      <c r="B219"/>
      <c r="C219"/>
      <c r="D219"/>
      <c r="E219"/>
      <c r="F219"/>
      <c r="G219"/>
    </row>
    <row r="220" spans="1:7" ht="16.5" customHeight="1">
      <c r="A220"/>
      <c r="B220"/>
      <c r="C220"/>
      <c r="D220"/>
      <c r="E220"/>
      <c r="F220"/>
      <c r="G220"/>
    </row>
    <row r="221" spans="1:7" ht="16.5" customHeight="1">
      <c r="A221"/>
      <c r="B221"/>
      <c r="C221"/>
      <c r="D221"/>
      <c r="E221"/>
      <c r="F221"/>
      <c r="G221"/>
    </row>
    <row r="222" spans="1:7" ht="16.5" customHeight="1">
      <c r="A222"/>
      <c r="B222"/>
      <c r="C222"/>
      <c r="D222"/>
      <c r="E222"/>
      <c r="F222"/>
      <c r="G222"/>
    </row>
    <row r="223" spans="1:7" ht="16.5" customHeight="1">
      <c r="A223"/>
      <c r="B223"/>
      <c r="C223"/>
      <c r="D223"/>
      <c r="E223"/>
      <c r="F223"/>
      <c r="G223"/>
    </row>
    <row r="224" spans="1:7" ht="16.5" customHeight="1">
      <c r="A224"/>
      <c r="B224"/>
      <c r="C224"/>
      <c r="D224"/>
      <c r="E224"/>
      <c r="F224"/>
      <c r="G224"/>
    </row>
    <row r="225" spans="1:7" ht="16.5" customHeight="1">
      <c r="A225"/>
      <c r="B225"/>
      <c r="C225"/>
      <c r="D225"/>
      <c r="E225"/>
      <c r="F225"/>
      <c r="G225"/>
    </row>
    <row r="226" spans="1:7" ht="16.5" customHeight="1">
      <c r="A226"/>
      <c r="B226"/>
      <c r="C226"/>
      <c r="D226"/>
      <c r="E226"/>
      <c r="F226"/>
      <c r="G226"/>
    </row>
    <row r="227" spans="1:7" ht="16.5" customHeight="1">
      <c r="A227"/>
      <c r="B227"/>
      <c r="C227"/>
      <c r="D227"/>
      <c r="E227"/>
      <c r="F227"/>
      <c r="G227"/>
    </row>
    <row r="228" spans="1:7" ht="16.5" customHeight="1">
      <c r="A228"/>
      <c r="B228"/>
      <c r="C228"/>
      <c r="D228"/>
      <c r="E228"/>
      <c r="F228"/>
      <c r="G228"/>
    </row>
    <row r="229" spans="1:7" ht="16.5" customHeight="1">
      <c r="A229"/>
      <c r="B229"/>
      <c r="C229"/>
      <c r="D229"/>
      <c r="E229"/>
      <c r="F229"/>
      <c r="G229"/>
    </row>
    <row r="230" spans="1:7" ht="16.5" customHeight="1">
      <c r="A230"/>
      <c r="B230"/>
      <c r="C230"/>
      <c r="D230"/>
      <c r="E230"/>
      <c r="F230"/>
      <c r="G230"/>
    </row>
    <row r="231" spans="1:7" ht="16.5" customHeight="1">
      <c r="A231"/>
      <c r="B231"/>
      <c r="C231"/>
      <c r="D231"/>
      <c r="E231"/>
      <c r="F231"/>
      <c r="G231"/>
    </row>
    <row r="232" spans="1:7" ht="16.5" customHeight="1">
      <c r="A232"/>
      <c r="B232"/>
      <c r="C232"/>
      <c r="D232"/>
      <c r="E232"/>
      <c r="F232"/>
      <c r="G232"/>
    </row>
    <row r="233" spans="1:7" ht="16.5" customHeight="1">
      <c r="A233"/>
      <c r="B233"/>
      <c r="C233"/>
      <c r="D233"/>
      <c r="E233"/>
      <c r="F233"/>
      <c r="G233"/>
    </row>
    <row r="234" spans="1:7" ht="16.5" customHeight="1">
      <c r="A234"/>
      <c r="B234"/>
      <c r="C234"/>
      <c r="D234"/>
      <c r="E234"/>
      <c r="F234"/>
      <c r="G234"/>
    </row>
    <row r="235" spans="1:7" ht="16.5" customHeight="1">
      <c r="A235"/>
      <c r="B235"/>
      <c r="C235"/>
      <c r="D235"/>
      <c r="E235"/>
      <c r="F235"/>
      <c r="G235"/>
    </row>
    <row r="236" spans="1:7" ht="16.5" customHeight="1">
      <c r="A236"/>
      <c r="B236"/>
      <c r="C236"/>
      <c r="D236"/>
      <c r="E236"/>
      <c r="F236"/>
      <c r="G236"/>
    </row>
    <row r="237" spans="1:7" ht="16.5" customHeight="1">
      <c r="A237"/>
      <c r="B237"/>
      <c r="C237"/>
      <c r="D237"/>
      <c r="E237"/>
      <c r="F237"/>
      <c r="G237"/>
    </row>
    <row r="238" spans="1:7" ht="16.5" customHeight="1">
      <c r="A238"/>
      <c r="B238"/>
      <c r="C238"/>
      <c r="D238"/>
      <c r="E238"/>
      <c r="F238"/>
      <c r="G238"/>
    </row>
    <row r="239" spans="1:7" ht="16.5" customHeight="1">
      <c r="A239"/>
      <c r="B239"/>
      <c r="C239"/>
      <c r="D239"/>
      <c r="E239"/>
      <c r="F239"/>
      <c r="G239"/>
    </row>
    <row r="240" spans="1:7" ht="16.5" customHeight="1">
      <c r="A240"/>
      <c r="B240"/>
      <c r="C240"/>
      <c r="D240"/>
      <c r="E240"/>
      <c r="F240"/>
      <c r="G240"/>
    </row>
    <row r="241" spans="1:7" ht="16.5" customHeight="1">
      <c r="A241"/>
      <c r="B241"/>
      <c r="C241"/>
      <c r="D241"/>
      <c r="E241"/>
      <c r="F241"/>
      <c r="G241"/>
    </row>
    <row r="242" spans="1:7" ht="16.5" customHeight="1">
      <c r="A242"/>
      <c r="B242"/>
      <c r="C242"/>
      <c r="D242"/>
      <c r="E242"/>
      <c r="F242"/>
      <c r="G242"/>
    </row>
    <row r="243" spans="1:7" ht="16.5" customHeight="1">
      <c r="A243"/>
      <c r="B243"/>
      <c r="C243"/>
      <c r="D243"/>
      <c r="E243"/>
      <c r="F243"/>
      <c r="G243"/>
    </row>
    <row r="244" spans="1:7" ht="16.5" customHeight="1">
      <c r="A244"/>
      <c r="B244"/>
      <c r="C244"/>
      <c r="D244"/>
      <c r="E244"/>
      <c r="F244"/>
      <c r="G244"/>
    </row>
    <row r="245" spans="1:7" ht="16.5" customHeight="1">
      <c r="A245"/>
      <c r="B245"/>
      <c r="C245"/>
      <c r="D245"/>
      <c r="E245"/>
      <c r="F245"/>
      <c r="G245"/>
    </row>
    <row r="246" spans="1:7" ht="16.5" customHeight="1">
      <c r="A246"/>
      <c r="B246"/>
      <c r="C246"/>
      <c r="D246"/>
      <c r="E246"/>
      <c r="F246"/>
      <c r="G246"/>
    </row>
    <row r="247" spans="1:7" ht="16.5" customHeight="1">
      <c r="A247"/>
      <c r="B247"/>
      <c r="C247"/>
      <c r="D247"/>
      <c r="E247"/>
      <c r="F247"/>
      <c r="G247"/>
    </row>
    <row r="248" spans="1:7" ht="16.5" customHeight="1">
      <c r="A248"/>
      <c r="B248"/>
      <c r="C248"/>
      <c r="D248"/>
      <c r="E248"/>
      <c r="F248"/>
      <c r="G248"/>
    </row>
    <row r="249" spans="1:7" ht="16.5" customHeight="1">
      <c r="A249"/>
      <c r="B249"/>
      <c r="C249"/>
      <c r="D249"/>
      <c r="E249"/>
      <c r="F249"/>
      <c r="G249"/>
    </row>
    <row r="250" spans="1:7" ht="16.5" customHeight="1">
      <c r="A250"/>
      <c r="B250"/>
      <c r="C250"/>
      <c r="D250"/>
      <c r="E250"/>
      <c r="F250"/>
      <c r="G250"/>
    </row>
    <row r="251" spans="1:7" ht="16.5" customHeight="1">
      <c r="A251"/>
      <c r="B251"/>
      <c r="C251"/>
      <c r="D251"/>
      <c r="E251"/>
      <c r="F251"/>
      <c r="G251"/>
    </row>
    <row r="252" spans="1:7" ht="16.5" customHeight="1">
      <c r="A252"/>
      <c r="B252"/>
      <c r="C252"/>
      <c r="D252"/>
      <c r="E252"/>
      <c r="F252"/>
      <c r="G252"/>
    </row>
    <row r="253" spans="1:7" ht="16.5" customHeight="1">
      <c r="A253"/>
      <c r="B253"/>
      <c r="C253"/>
      <c r="D253"/>
      <c r="E253"/>
      <c r="F253"/>
      <c r="G253"/>
    </row>
    <row r="254" spans="1:7" ht="16.5" customHeight="1">
      <c r="A254"/>
      <c r="B254"/>
      <c r="C254"/>
      <c r="D254"/>
      <c r="E254"/>
      <c r="F254"/>
      <c r="G254"/>
    </row>
    <row r="255" spans="1:7" ht="16.5" customHeight="1">
      <c r="A255"/>
      <c r="B255"/>
      <c r="C255"/>
      <c r="D255"/>
      <c r="E255"/>
      <c r="F255"/>
      <c r="G255"/>
    </row>
    <row r="256" spans="1:7" ht="16.5" customHeight="1">
      <c r="A256"/>
      <c r="B256"/>
      <c r="C256"/>
      <c r="D256"/>
      <c r="E256"/>
      <c r="F256"/>
      <c r="G256"/>
    </row>
    <row r="257" spans="1:7" ht="16.5" customHeight="1">
      <c r="A257"/>
      <c r="B257"/>
      <c r="C257"/>
      <c r="D257"/>
      <c r="E257"/>
      <c r="F257"/>
      <c r="G257"/>
    </row>
    <row r="258" spans="1:7" ht="16.5" customHeight="1">
      <c r="A258"/>
      <c r="B258"/>
      <c r="C258"/>
      <c r="D258"/>
      <c r="E258"/>
      <c r="F258"/>
      <c r="G258"/>
    </row>
    <row r="259" spans="1:7" ht="16.5" customHeight="1">
      <c r="A259"/>
      <c r="B259"/>
      <c r="C259"/>
      <c r="D259"/>
      <c r="E259"/>
      <c r="F259"/>
      <c r="G259"/>
    </row>
    <row r="260" spans="1:7" ht="16.5" customHeight="1">
      <c r="A260"/>
      <c r="B260"/>
      <c r="C260"/>
      <c r="D260"/>
      <c r="E260"/>
      <c r="F260"/>
      <c r="G260"/>
    </row>
    <row r="261" spans="1:7" ht="16.5" customHeight="1">
      <c r="A261"/>
      <c r="B261"/>
      <c r="C261"/>
      <c r="D261"/>
      <c r="E261"/>
      <c r="F261"/>
      <c r="G261"/>
    </row>
    <row r="262" spans="1:7" ht="16.5" customHeight="1">
      <c r="A262"/>
      <c r="B262"/>
      <c r="C262"/>
      <c r="D262"/>
      <c r="E262"/>
      <c r="F262"/>
      <c r="G262"/>
    </row>
    <row r="263" spans="1:7" ht="16.5" customHeight="1">
      <c r="A263"/>
      <c r="B263"/>
      <c r="C263"/>
      <c r="D263"/>
      <c r="E263"/>
      <c r="F263"/>
      <c r="G263"/>
    </row>
    <row r="264" spans="1:7" ht="16.5" customHeight="1">
      <c r="A264"/>
      <c r="B264"/>
      <c r="C264"/>
      <c r="D264"/>
      <c r="E264"/>
      <c r="F264"/>
      <c r="G264"/>
    </row>
    <row r="265" spans="1:7" ht="16.5" customHeight="1">
      <c r="A265"/>
      <c r="B265"/>
      <c r="C265"/>
      <c r="D265"/>
      <c r="E265"/>
      <c r="F265"/>
      <c r="G265"/>
    </row>
    <row r="266" spans="1:7" ht="16.5" customHeight="1">
      <c r="A266"/>
      <c r="B266"/>
      <c r="C266"/>
      <c r="D266"/>
      <c r="E266"/>
      <c r="F266"/>
      <c r="G266"/>
    </row>
    <row r="267" spans="1:7" ht="16.5" customHeight="1">
      <c r="A267"/>
      <c r="B267"/>
      <c r="C267"/>
      <c r="D267"/>
      <c r="E267"/>
      <c r="F267"/>
      <c r="G267"/>
    </row>
    <row r="268" spans="1:7" ht="16.5" customHeight="1">
      <c r="A268"/>
      <c r="B268"/>
      <c r="C268"/>
      <c r="D268"/>
      <c r="E268"/>
      <c r="F268"/>
      <c r="G268"/>
    </row>
    <row r="269" spans="1:7" ht="16.5" customHeight="1">
      <c r="A269"/>
      <c r="B269"/>
      <c r="C269"/>
      <c r="D269"/>
      <c r="E269"/>
      <c r="F269"/>
      <c r="G269"/>
    </row>
    <row r="270" spans="1:7" ht="16.5" customHeight="1">
      <c r="A270"/>
      <c r="B270"/>
      <c r="C270"/>
      <c r="D270"/>
      <c r="E270"/>
      <c r="F270"/>
      <c r="G270"/>
    </row>
    <row r="271" spans="1:7" ht="16.5" customHeight="1">
      <c r="A271"/>
      <c r="B271"/>
      <c r="C271"/>
      <c r="D271"/>
      <c r="E271"/>
      <c r="F271"/>
      <c r="G271"/>
    </row>
    <row r="272" spans="1:7" ht="16.5" customHeight="1">
      <c r="A272"/>
      <c r="B272"/>
      <c r="C272"/>
      <c r="D272"/>
      <c r="E272"/>
      <c r="F272"/>
      <c r="G272"/>
    </row>
    <row r="273" spans="1:7" ht="16.5" customHeight="1">
      <c r="A273"/>
      <c r="B273"/>
      <c r="C273"/>
      <c r="D273"/>
      <c r="E273"/>
      <c r="F273"/>
      <c r="G273"/>
    </row>
    <row r="274" spans="1:7" ht="16.5" customHeight="1">
      <c r="A274"/>
      <c r="B274"/>
      <c r="C274"/>
      <c r="D274"/>
      <c r="E274"/>
      <c r="F274"/>
      <c r="G274"/>
    </row>
    <row r="275" spans="1:7" ht="16.5" customHeight="1">
      <c r="A275"/>
      <c r="B275"/>
      <c r="C275"/>
      <c r="D275"/>
      <c r="E275"/>
      <c r="F275"/>
      <c r="G275"/>
    </row>
    <row r="276" spans="1:7" ht="16.5" customHeight="1">
      <c r="A276"/>
      <c r="B276"/>
      <c r="C276"/>
      <c r="D276"/>
      <c r="E276"/>
      <c r="F276"/>
      <c r="G276"/>
    </row>
    <row r="277" spans="1:7" ht="16.5" customHeight="1">
      <c r="A277"/>
      <c r="B277"/>
      <c r="C277"/>
      <c r="D277"/>
      <c r="E277"/>
      <c r="F277"/>
      <c r="G277"/>
    </row>
    <row r="278" spans="1:7" ht="16.5" customHeight="1">
      <c r="A278"/>
      <c r="B278"/>
      <c r="C278"/>
      <c r="D278"/>
      <c r="E278"/>
      <c r="F278"/>
      <c r="G278"/>
    </row>
    <row r="279" spans="1:7" ht="16.5" customHeight="1">
      <c r="A279"/>
      <c r="B279"/>
      <c r="C279"/>
      <c r="D279"/>
      <c r="E279"/>
      <c r="F279"/>
      <c r="G279"/>
    </row>
    <row r="280" spans="1:7" ht="16.5" customHeight="1">
      <c r="A280"/>
      <c r="B280"/>
      <c r="C280"/>
      <c r="D280"/>
      <c r="E280"/>
      <c r="F280"/>
      <c r="G280"/>
    </row>
    <row r="281" spans="1:7" ht="16.5" customHeight="1">
      <c r="A281"/>
      <c r="B281"/>
      <c r="C281"/>
      <c r="D281"/>
      <c r="E281"/>
      <c r="F281"/>
      <c r="G281"/>
    </row>
    <row r="282" spans="1:7" ht="16.5" customHeight="1">
      <c r="A282"/>
      <c r="B282"/>
      <c r="C282"/>
      <c r="D282"/>
      <c r="E282"/>
      <c r="F282"/>
      <c r="G282"/>
    </row>
    <row r="283" spans="1:7" ht="16.5" customHeight="1">
      <c r="A283"/>
      <c r="B283"/>
      <c r="C283"/>
      <c r="D283"/>
      <c r="E283"/>
      <c r="F283"/>
      <c r="G283"/>
    </row>
    <row r="284" spans="1:7" ht="16.5" customHeight="1">
      <c r="A284"/>
      <c r="B284"/>
      <c r="C284"/>
      <c r="D284"/>
      <c r="E284"/>
      <c r="F284"/>
      <c r="G284"/>
    </row>
    <row r="285" spans="1:7" ht="16.5" customHeight="1">
      <c r="A285"/>
      <c r="B285"/>
      <c r="C285"/>
      <c r="D285"/>
      <c r="E285"/>
      <c r="F285"/>
      <c r="G285"/>
    </row>
    <row r="286" spans="1:7" ht="16.5" customHeight="1">
      <c r="A286"/>
      <c r="B286"/>
      <c r="C286"/>
      <c r="D286"/>
      <c r="E286"/>
      <c r="F286"/>
      <c r="G286"/>
    </row>
    <row r="287" spans="1:7" ht="16.5" customHeight="1">
      <c r="A287"/>
      <c r="B287"/>
      <c r="C287"/>
      <c r="D287"/>
      <c r="E287"/>
      <c r="F287"/>
      <c r="G287"/>
    </row>
    <row r="288" spans="1:7" ht="16.5" customHeight="1">
      <c r="A288"/>
      <c r="B288"/>
      <c r="C288"/>
      <c r="D288"/>
      <c r="E288"/>
      <c r="F288"/>
      <c r="G288"/>
    </row>
    <row r="289" spans="1:7" ht="16.5" customHeight="1">
      <c r="A289"/>
      <c r="B289"/>
      <c r="C289"/>
      <c r="D289"/>
      <c r="E289"/>
      <c r="F289"/>
      <c r="G289"/>
    </row>
    <row r="290" spans="1:7" ht="16.5" customHeight="1">
      <c r="A290"/>
      <c r="B290"/>
      <c r="C290"/>
      <c r="D290"/>
      <c r="E290"/>
      <c r="F290"/>
      <c r="G290"/>
    </row>
    <row r="291" spans="1:7" ht="16.5" customHeight="1">
      <c r="A291"/>
      <c r="B291"/>
      <c r="C291"/>
      <c r="D291"/>
      <c r="E291"/>
      <c r="F291"/>
      <c r="G291"/>
    </row>
    <row r="292" spans="1:7" ht="16.5" customHeight="1">
      <c r="A292"/>
      <c r="B292"/>
      <c r="C292"/>
      <c r="D292"/>
      <c r="E292"/>
      <c r="F292"/>
      <c r="G292"/>
    </row>
    <row r="293" spans="1:7" ht="16.5" customHeight="1">
      <c r="A293"/>
      <c r="B293"/>
      <c r="C293"/>
      <c r="D293"/>
      <c r="E293"/>
      <c r="F293"/>
      <c r="G293"/>
    </row>
    <row r="294" spans="1:7" ht="16.5" customHeight="1">
      <c r="A294"/>
      <c r="B294"/>
      <c r="C294"/>
      <c r="D294"/>
      <c r="E294"/>
      <c r="F294"/>
      <c r="G294"/>
    </row>
    <row r="295" spans="1:7" ht="16.5" customHeight="1">
      <c r="A295"/>
      <c r="B295"/>
      <c r="C295"/>
      <c r="D295"/>
      <c r="E295"/>
      <c r="F295"/>
      <c r="G295"/>
    </row>
    <row r="296" spans="1:7" ht="16.5" customHeight="1">
      <c r="A296"/>
      <c r="B296"/>
      <c r="C296"/>
      <c r="D296"/>
      <c r="E296"/>
      <c r="F296"/>
      <c r="G296"/>
    </row>
    <row r="297" spans="1:7" ht="16.5" customHeight="1">
      <c r="A297"/>
      <c r="B297"/>
      <c r="C297"/>
      <c r="D297"/>
      <c r="E297"/>
      <c r="F297"/>
      <c r="G297"/>
    </row>
    <row r="298" spans="1:7" ht="16.5" customHeight="1">
      <c r="A298"/>
      <c r="B298"/>
      <c r="C298"/>
      <c r="D298"/>
      <c r="E298"/>
      <c r="F298"/>
      <c r="G298"/>
    </row>
    <row r="299" spans="1:7" ht="16.5" customHeight="1">
      <c r="A299"/>
      <c r="B299"/>
      <c r="C299"/>
      <c r="D299"/>
      <c r="E299"/>
      <c r="F299"/>
      <c r="G299"/>
    </row>
    <row r="300" spans="1:7" ht="16.5" customHeight="1">
      <c r="A300"/>
      <c r="B300"/>
      <c r="C300"/>
      <c r="D300"/>
      <c r="E300"/>
      <c r="F300"/>
      <c r="G300"/>
    </row>
    <row r="301" spans="1:7" ht="16.5" customHeight="1">
      <c r="A301"/>
      <c r="B301"/>
      <c r="C301"/>
      <c r="D301"/>
      <c r="E301"/>
      <c r="F301"/>
      <c r="G301"/>
    </row>
    <row r="302" spans="1:7" ht="16.5" customHeight="1">
      <c r="A302"/>
      <c r="B302"/>
      <c r="C302"/>
      <c r="D302"/>
      <c r="E302"/>
      <c r="F302"/>
      <c r="G302"/>
    </row>
  </sheetData>
  <mergeCells count="2">
    <mergeCell ref="A4:B4"/>
    <mergeCell ref="F4:F7"/>
  </mergeCells>
  <conditionalFormatting sqref="C2">
    <cfRule type="cellIs" dxfId="50" priority="1" stopIfTrue="1" operator="lessThan">
      <formula>0.0006944</formula>
    </cfRule>
    <cfRule type="cellIs" dxfId="49" priority="2" stopIfTrue="1" operator="lessThan">
      <formula>0.04166</formula>
    </cfRule>
    <cfRule type="cellIs" dxfId="48" priority="3" stopIfTrue="1" operator="greaterThanOrEqual">
      <formula>0.04166</formula>
    </cfRule>
  </conditionalFormatting>
  <conditionalFormatting sqref="C4:C7">
    <cfRule type="cellIs" dxfId="47" priority="4" stopIfTrue="1" operator="lessThan">
      <formula>0.0006944</formula>
    </cfRule>
    <cfRule type="cellIs" dxfId="46" priority="5" stopIfTrue="1" operator="lessThan">
      <formula>0.04166</formula>
    </cfRule>
    <cfRule type="cellIs" dxfId="45" priority="6" stopIfTrue="1" operator="greaterThanOrEqual">
      <formula>0.04166</formula>
    </cfRule>
  </conditionalFormatting>
  <conditionalFormatting sqref="E8:E1048576">
    <cfRule type="containsText" dxfId="44" priority="8" operator="containsText" text="Vehicle">
      <formula>NOT(ISERROR(SEARCH("Vehicle",E8)))</formula>
    </cfRule>
    <cfRule type="containsText" dxfId="43" priority="9" operator="containsText" text="Device">
      <formula>NOT(ISERROR(SEARCH("Device",E8)))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35"/>
  <sheetViews>
    <sheetView workbookViewId="0">
      <selection activeCell="A35" sqref="A35"/>
    </sheetView>
  </sheetViews>
  <sheetFormatPr defaultColWidth="8.7109375" defaultRowHeight="12.75"/>
  <cols>
    <col min="1" max="24" width="30.140625" customWidth="1"/>
  </cols>
  <sheetData>
    <row r="1" spans="1:24" s="5" customFormat="1">
      <c r="A1" s="5" t="s">
        <v>36</v>
      </c>
      <c r="B1" s="5" t="s">
        <v>501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139</v>
      </c>
      <c r="J1" s="5" t="s">
        <v>140</v>
      </c>
      <c r="K1" s="5" t="s">
        <v>141</v>
      </c>
      <c r="L1" s="5" t="s">
        <v>142</v>
      </c>
      <c r="M1" s="5" t="s">
        <v>143</v>
      </c>
      <c r="N1" s="5" t="s">
        <v>144</v>
      </c>
      <c r="O1" s="5" t="s">
        <v>420</v>
      </c>
      <c r="P1" s="5" t="s">
        <v>451</v>
      </c>
      <c r="Q1" s="5" t="s">
        <v>478</v>
      </c>
      <c r="R1" s="5" t="s">
        <v>602</v>
      </c>
      <c r="S1" s="5" t="s">
        <v>603</v>
      </c>
      <c r="T1" s="5" t="s">
        <v>630</v>
      </c>
      <c r="U1" s="5" t="s">
        <v>631</v>
      </c>
      <c r="V1" s="5" t="s">
        <v>632</v>
      </c>
      <c r="W1" s="5" t="s">
        <v>633</v>
      </c>
      <c r="X1" s="5" t="s">
        <v>634</v>
      </c>
    </row>
    <row r="2" spans="1:24">
      <c r="A2" t="s">
        <v>25</v>
      </c>
      <c r="B2" t="s">
        <v>43</v>
      </c>
      <c r="C2" t="s">
        <v>44</v>
      </c>
      <c r="D2" t="s">
        <v>45</v>
      </c>
      <c r="E2" t="s">
        <v>46</v>
      </c>
      <c r="F2" t="s">
        <v>314</v>
      </c>
      <c r="G2" t="s">
        <v>44</v>
      </c>
      <c r="H2" t="s">
        <v>47</v>
      </c>
      <c r="I2" t="s">
        <v>44</v>
      </c>
      <c r="J2" t="s">
        <v>315</v>
      </c>
      <c r="K2" t="s">
        <v>316</v>
      </c>
      <c r="L2" t="s">
        <v>317</v>
      </c>
      <c r="M2" t="s">
        <v>318</v>
      </c>
      <c r="N2" t="s">
        <v>319</v>
      </c>
      <c r="O2" t="s">
        <v>421</v>
      </c>
      <c r="P2" t="s">
        <v>452</v>
      </c>
      <c r="Q2" t="s">
        <v>479</v>
      </c>
      <c r="R2" t="s">
        <v>569</v>
      </c>
      <c r="S2" t="s">
        <v>604</v>
      </c>
      <c r="T2" t="s">
        <v>635</v>
      </c>
      <c r="U2" t="s">
        <v>636</v>
      </c>
      <c r="V2" t="s">
        <v>637</v>
      </c>
      <c r="W2" t="s">
        <v>319</v>
      </c>
      <c r="X2" t="s">
        <v>638</v>
      </c>
    </row>
    <row r="3" spans="1:24">
      <c r="A3" t="s">
        <v>26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320</v>
      </c>
      <c r="J3" t="s">
        <v>321</v>
      </c>
      <c r="K3" t="s">
        <v>322</v>
      </c>
      <c r="L3" t="s">
        <v>323</v>
      </c>
      <c r="M3" t="s">
        <v>324</v>
      </c>
      <c r="N3" t="s">
        <v>325</v>
      </c>
      <c r="O3" t="s">
        <v>422</v>
      </c>
      <c r="P3" t="s">
        <v>453</v>
      </c>
      <c r="Q3" t="s">
        <v>480</v>
      </c>
      <c r="R3" t="s">
        <v>570</v>
      </c>
      <c r="S3" t="s">
        <v>605</v>
      </c>
      <c r="T3" t="s">
        <v>639</v>
      </c>
      <c r="U3" t="s">
        <v>640</v>
      </c>
      <c r="V3" t="s">
        <v>641</v>
      </c>
      <c r="W3" t="s">
        <v>642</v>
      </c>
      <c r="X3" t="s">
        <v>643</v>
      </c>
    </row>
    <row r="4" spans="1:24">
      <c r="A4" t="s">
        <v>21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59</v>
      </c>
      <c r="H4" t="s">
        <v>57</v>
      </c>
      <c r="I4" t="s">
        <v>59</v>
      </c>
      <c r="J4" t="s">
        <v>326</v>
      </c>
      <c r="K4" t="s">
        <v>327</v>
      </c>
      <c r="L4" t="s">
        <v>328</v>
      </c>
      <c r="M4" t="s">
        <v>57</v>
      </c>
      <c r="N4" t="s">
        <v>57</v>
      </c>
      <c r="O4" t="s">
        <v>423</v>
      </c>
      <c r="P4" t="s">
        <v>454</v>
      </c>
      <c r="Q4" t="s">
        <v>55</v>
      </c>
      <c r="R4" t="s">
        <v>571</v>
      </c>
      <c r="S4" t="s">
        <v>326</v>
      </c>
      <c r="T4" t="s">
        <v>644</v>
      </c>
      <c r="U4" t="s">
        <v>645</v>
      </c>
      <c r="V4" t="s">
        <v>646</v>
      </c>
      <c r="W4" t="s">
        <v>644</v>
      </c>
      <c r="X4" t="s">
        <v>646</v>
      </c>
    </row>
    <row r="5" spans="1:24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329</v>
      </c>
      <c r="J5" t="s">
        <v>330</v>
      </c>
      <c r="K5" t="s">
        <v>331</v>
      </c>
      <c r="L5" t="s">
        <v>332</v>
      </c>
      <c r="M5" t="s">
        <v>333</v>
      </c>
      <c r="N5" t="s">
        <v>334</v>
      </c>
      <c r="O5" t="s">
        <v>424</v>
      </c>
      <c r="P5" t="s">
        <v>455</v>
      </c>
      <c r="Q5" t="s">
        <v>481</v>
      </c>
      <c r="R5" t="s">
        <v>572</v>
      </c>
      <c r="S5" t="s">
        <v>606</v>
      </c>
      <c r="T5" t="s">
        <v>647</v>
      </c>
      <c r="U5" t="s">
        <v>648</v>
      </c>
      <c r="V5" t="s">
        <v>649</v>
      </c>
      <c r="W5" t="s">
        <v>650</v>
      </c>
      <c r="X5" t="s">
        <v>651</v>
      </c>
    </row>
    <row r="6" spans="1:24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335</v>
      </c>
      <c r="J6" t="s">
        <v>336</v>
      </c>
      <c r="K6" t="s">
        <v>337</v>
      </c>
      <c r="L6" t="s">
        <v>338</v>
      </c>
      <c r="M6" t="s">
        <v>339</v>
      </c>
      <c r="N6" t="s">
        <v>340</v>
      </c>
      <c r="O6" t="s">
        <v>425</v>
      </c>
      <c r="P6" t="s">
        <v>456</v>
      </c>
      <c r="Q6" t="s">
        <v>482</v>
      </c>
      <c r="R6" t="s">
        <v>573</v>
      </c>
      <c r="S6" t="s">
        <v>607</v>
      </c>
      <c r="T6" t="s">
        <v>652</v>
      </c>
      <c r="U6" t="s">
        <v>653</v>
      </c>
      <c r="V6" t="s">
        <v>654</v>
      </c>
      <c r="W6" t="s">
        <v>655</v>
      </c>
      <c r="X6" t="s">
        <v>656</v>
      </c>
    </row>
    <row r="7" spans="1:24">
      <c r="A7" t="s">
        <v>27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341</v>
      </c>
      <c r="J7" t="s">
        <v>342</v>
      </c>
      <c r="K7" t="s">
        <v>343</v>
      </c>
      <c r="L7" t="s">
        <v>344</v>
      </c>
      <c r="M7" t="s">
        <v>345</v>
      </c>
      <c r="N7" t="s">
        <v>346</v>
      </c>
      <c r="O7" t="s">
        <v>426</v>
      </c>
      <c r="P7" t="s">
        <v>457</v>
      </c>
      <c r="Q7" t="s">
        <v>76</v>
      </c>
      <c r="R7" t="s">
        <v>574</v>
      </c>
      <c r="S7" t="s">
        <v>342</v>
      </c>
      <c r="T7" t="s">
        <v>657</v>
      </c>
      <c r="U7" t="s">
        <v>658</v>
      </c>
      <c r="V7" t="s">
        <v>659</v>
      </c>
      <c r="W7" t="s">
        <v>657</v>
      </c>
      <c r="X7" t="s">
        <v>80</v>
      </c>
    </row>
    <row r="8" spans="1:24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347</v>
      </c>
      <c r="J8" t="s">
        <v>348</v>
      </c>
      <c r="K8" t="s">
        <v>349</v>
      </c>
      <c r="L8" t="s">
        <v>350</v>
      </c>
      <c r="M8" t="s">
        <v>351</v>
      </c>
      <c r="N8" t="s">
        <v>352</v>
      </c>
      <c r="O8" t="s">
        <v>427</v>
      </c>
      <c r="P8" t="s">
        <v>458</v>
      </c>
      <c r="Q8" t="s">
        <v>483</v>
      </c>
      <c r="R8" t="s">
        <v>575</v>
      </c>
      <c r="S8" t="s">
        <v>348</v>
      </c>
      <c r="T8" t="s">
        <v>660</v>
      </c>
      <c r="U8" t="s">
        <v>661</v>
      </c>
      <c r="V8" t="s">
        <v>662</v>
      </c>
      <c r="W8" t="s">
        <v>663</v>
      </c>
      <c r="X8" t="s">
        <v>664</v>
      </c>
    </row>
    <row r="9" spans="1:24">
      <c r="A9" t="s">
        <v>31</v>
      </c>
      <c r="B9" t="s">
        <v>91</v>
      </c>
      <c r="C9" t="s">
        <v>92</v>
      </c>
      <c r="D9" t="s">
        <v>93</v>
      </c>
      <c r="E9" t="s">
        <v>94</v>
      </c>
      <c r="F9" t="s">
        <v>353</v>
      </c>
      <c r="G9" t="s">
        <v>95</v>
      </c>
      <c r="H9" t="s">
        <v>96</v>
      </c>
      <c r="I9" t="s">
        <v>354</v>
      </c>
      <c r="J9" t="s">
        <v>355</v>
      </c>
      <c r="K9" t="s">
        <v>356</v>
      </c>
      <c r="L9" t="s">
        <v>357</v>
      </c>
      <c r="M9" t="s">
        <v>358</v>
      </c>
      <c r="N9" t="s">
        <v>359</v>
      </c>
      <c r="O9" t="s">
        <v>428</v>
      </c>
      <c r="P9" t="s">
        <v>357</v>
      </c>
      <c r="Q9" t="s">
        <v>91</v>
      </c>
      <c r="R9" t="s">
        <v>576</v>
      </c>
      <c r="S9" t="s">
        <v>608</v>
      </c>
      <c r="T9" t="s">
        <v>665</v>
      </c>
      <c r="U9" t="s">
        <v>666</v>
      </c>
      <c r="V9" t="s">
        <v>667</v>
      </c>
      <c r="W9" t="s">
        <v>665</v>
      </c>
      <c r="X9" t="s">
        <v>358</v>
      </c>
    </row>
    <row r="10" spans="1:24">
      <c r="A10" t="s">
        <v>32</v>
      </c>
      <c r="B10" t="s">
        <v>360</v>
      </c>
      <c r="C10" t="s">
        <v>98</v>
      </c>
      <c r="D10" t="s">
        <v>99</v>
      </c>
      <c r="E10" t="s">
        <v>361</v>
      </c>
      <c r="F10" t="s">
        <v>97</v>
      </c>
      <c r="G10" t="s">
        <v>98</v>
      </c>
      <c r="H10" t="s">
        <v>99</v>
      </c>
      <c r="I10" t="s">
        <v>99</v>
      </c>
      <c r="J10" t="s">
        <v>362</v>
      </c>
      <c r="K10" t="s">
        <v>363</v>
      </c>
      <c r="L10" t="s">
        <v>364</v>
      </c>
      <c r="M10" t="s">
        <v>365</v>
      </c>
      <c r="N10" t="s">
        <v>366</v>
      </c>
      <c r="O10" t="s">
        <v>429</v>
      </c>
      <c r="P10" t="s">
        <v>459</v>
      </c>
      <c r="Q10" t="s">
        <v>360</v>
      </c>
      <c r="R10" t="s">
        <v>577</v>
      </c>
      <c r="S10" t="s">
        <v>362</v>
      </c>
      <c r="T10" t="s">
        <v>99</v>
      </c>
      <c r="U10" t="s">
        <v>668</v>
      </c>
      <c r="V10" t="s">
        <v>669</v>
      </c>
      <c r="W10" t="s">
        <v>670</v>
      </c>
      <c r="X10" t="s">
        <v>671</v>
      </c>
    </row>
    <row r="11" spans="1:24">
      <c r="A11" t="s">
        <v>28</v>
      </c>
      <c r="B11" t="s">
        <v>100</v>
      </c>
      <c r="C11" t="s">
        <v>101</v>
      </c>
      <c r="D11" t="s">
        <v>100</v>
      </c>
      <c r="E11" t="s">
        <v>102</v>
      </c>
      <c r="F11" t="s">
        <v>103</v>
      </c>
      <c r="G11" t="s">
        <v>101</v>
      </c>
      <c r="H11" t="s">
        <v>100</v>
      </c>
      <c r="I11" t="s">
        <v>367</v>
      </c>
      <c r="J11" t="s">
        <v>368</v>
      </c>
      <c r="K11" t="s">
        <v>369</v>
      </c>
      <c r="L11" t="s">
        <v>370</v>
      </c>
      <c r="M11" t="s">
        <v>371</v>
      </c>
      <c r="N11" t="s">
        <v>103</v>
      </c>
      <c r="O11" t="s">
        <v>103</v>
      </c>
      <c r="P11" t="s">
        <v>103</v>
      </c>
      <c r="Q11" t="s">
        <v>100</v>
      </c>
      <c r="R11" t="s">
        <v>578</v>
      </c>
      <c r="S11" t="s">
        <v>609</v>
      </c>
      <c r="T11" t="s">
        <v>370</v>
      </c>
      <c r="U11" t="s">
        <v>672</v>
      </c>
      <c r="V11" t="s">
        <v>371</v>
      </c>
      <c r="W11" t="s">
        <v>370</v>
      </c>
      <c r="X11" t="s">
        <v>371</v>
      </c>
    </row>
    <row r="12" spans="1:24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372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430</v>
      </c>
      <c r="P12" t="s">
        <v>460</v>
      </c>
      <c r="Q12" t="s">
        <v>484</v>
      </c>
      <c r="R12" t="s">
        <v>579</v>
      </c>
      <c r="S12" t="s">
        <v>610</v>
      </c>
      <c r="T12" t="s">
        <v>673</v>
      </c>
      <c r="U12" t="s">
        <v>674</v>
      </c>
      <c r="V12" t="s">
        <v>675</v>
      </c>
      <c r="W12" t="s">
        <v>676</v>
      </c>
      <c r="X12" t="s">
        <v>677</v>
      </c>
    </row>
    <row r="13" spans="1:24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378</v>
      </c>
      <c r="J13" t="s">
        <v>379</v>
      </c>
      <c r="K13" t="s">
        <v>380</v>
      </c>
      <c r="L13" t="s">
        <v>381</v>
      </c>
      <c r="M13" t="s">
        <v>382</v>
      </c>
      <c r="N13" t="s">
        <v>383</v>
      </c>
      <c r="O13" t="s">
        <v>431</v>
      </c>
      <c r="P13" t="s">
        <v>461</v>
      </c>
      <c r="Q13" t="s">
        <v>113</v>
      </c>
      <c r="R13" t="s">
        <v>580</v>
      </c>
      <c r="S13" t="s">
        <v>611</v>
      </c>
      <c r="T13" t="s">
        <v>678</v>
      </c>
      <c r="U13" t="s">
        <v>679</v>
      </c>
      <c r="V13" t="s">
        <v>680</v>
      </c>
      <c r="W13" t="s">
        <v>681</v>
      </c>
      <c r="X13" t="s">
        <v>682</v>
      </c>
    </row>
    <row r="14" spans="1:24">
      <c r="A14" t="s">
        <v>22</v>
      </c>
      <c r="B14" t="s">
        <v>123</v>
      </c>
      <c r="C14" t="s">
        <v>120</v>
      </c>
      <c r="D14" t="s">
        <v>121</v>
      </c>
      <c r="E14" t="s">
        <v>384</v>
      </c>
      <c r="F14" t="s">
        <v>122</v>
      </c>
      <c r="G14" t="s">
        <v>123</v>
      </c>
      <c r="H14" t="s">
        <v>124</v>
      </c>
      <c r="I14" t="s">
        <v>385</v>
      </c>
      <c r="J14" t="s">
        <v>386</v>
      </c>
      <c r="K14" t="s">
        <v>387</v>
      </c>
      <c r="L14" t="s">
        <v>388</v>
      </c>
      <c r="M14" t="s">
        <v>122</v>
      </c>
      <c r="N14" t="s">
        <v>389</v>
      </c>
      <c r="O14" t="s">
        <v>432</v>
      </c>
      <c r="P14" t="s">
        <v>462</v>
      </c>
      <c r="Q14" t="s">
        <v>485</v>
      </c>
      <c r="R14" t="s">
        <v>581</v>
      </c>
      <c r="S14" t="s">
        <v>612</v>
      </c>
      <c r="T14" t="s">
        <v>683</v>
      </c>
      <c r="U14" t="s">
        <v>684</v>
      </c>
      <c r="V14" t="s">
        <v>685</v>
      </c>
      <c r="W14" t="s">
        <v>683</v>
      </c>
      <c r="X14" t="s">
        <v>686</v>
      </c>
    </row>
    <row r="15" spans="1:24">
      <c r="A15" t="s">
        <v>23</v>
      </c>
      <c r="B15" t="s">
        <v>390</v>
      </c>
      <c r="C15" t="s">
        <v>125</v>
      </c>
      <c r="D15" t="s">
        <v>126</v>
      </c>
      <c r="E15" t="s">
        <v>391</v>
      </c>
      <c r="F15" t="s">
        <v>127</v>
      </c>
      <c r="G15" t="s">
        <v>128</v>
      </c>
      <c r="H15" t="s">
        <v>392</v>
      </c>
      <c r="I15" t="s">
        <v>393</v>
      </c>
      <c r="J15" t="s">
        <v>394</v>
      </c>
      <c r="K15" t="s">
        <v>395</v>
      </c>
      <c r="L15" t="s">
        <v>396</v>
      </c>
      <c r="M15" t="s">
        <v>397</v>
      </c>
      <c r="N15" t="s">
        <v>398</v>
      </c>
      <c r="O15" t="s">
        <v>433</v>
      </c>
      <c r="P15" t="s">
        <v>463</v>
      </c>
      <c r="Q15" t="s">
        <v>390</v>
      </c>
      <c r="R15" t="s">
        <v>582</v>
      </c>
      <c r="S15" t="s">
        <v>394</v>
      </c>
      <c r="T15" t="s">
        <v>687</v>
      </c>
      <c r="U15" t="s">
        <v>688</v>
      </c>
      <c r="V15" t="s">
        <v>689</v>
      </c>
      <c r="W15" t="s">
        <v>687</v>
      </c>
      <c r="X15" t="s">
        <v>127</v>
      </c>
    </row>
    <row r="16" spans="1:24">
      <c r="A16" t="s">
        <v>34</v>
      </c>
      <c r="B16" t="s">
        <v>399</v>
      </c>
      <c r="C16" t="s">
        <v>400</v>
      </c>
      <c r="D16" t="s">
        <v>399</v>
      </c>
      <c r="E16" t="s">
        <v>401</v>
      </c>
      <c r="F16" t="s">
        <v>402</v>
      </c>
      <c r="G16" t="s">
        <v>400</v>
      </c>
      <c r="H16" t="s">
        <v>403</v>
      </c>
      <c r="I16" t="s">
        <v>404</v>
      </c>
      <c r="J16" t="s">
        <v>405</v>
      </c>
      <c r="K16" t="s">
        <v>406</v>
      </c>
      <c r="L16" t="s">
        <v>407</v>
      </c>
      <c r="M16" t="s">
        <v>358</v>
      </c>
      <c r="N16" t="s">
        <v>408</v>
      </c>
      <c r="O16" t="s">
        <v>428</v>
      </c>
      <c r="P16" t="s">
        <v>357</v>
      </c>
      <c r="Q16" t="s">
        <v>486</v>
      </c>
      <c r="R16" t="s">
        <v>583</v>
      </c>
      <c r="S16" t="s">
        <v>613</v>
      </c>
      <c r="T16" t="s">
        <v>399</v>
      </c>
      <c r="U16" t="s">
        <v>690</v>
      </c>
      <c r="V16" t="s">
        <v>691</v>
      </c>
      <c r="W16" t="s">
        <v>692</v>
      </c>
      <c r="X16" t="s">
        <v>358</v>
      </c>
    </row>
    <row r="17" spans="1:24">
      <c r="A17" t="s">
        <v>145</v>
      </c>
      <c r="B17" t="s">
        <v>146</v>
      </c>
      <c r="C17" t="s">
        <v>129</v>
      </c>
      <c r="D17" t="s">
        <v>130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154</v>
      </c>
      <c r="M17" t="s">
        <v>155</v>
      </c>
      <c r="N17" t="s">
        <v>156</v>
      </c>
      <c r="O17" t="s">
        <v>434</v>
      </c>
      <c r="P17" t="s">
        <v>464</v>
      </c>
      <c r="Q17" t="s">
        <v>487</v>
      </c>
      <c r="R17" t="s">
        <v>584</v>
      </c>
      <c r="S17" t="s">
        <v>614</v>
      </c>
      <c r="T17" t="s">
        <v>693</v>
      </c>
      <c r="U17" t="s">
        <v>694</v>
      </c>
      <c r="V17" t="s">
        <v>695</v>
      </c>
      <c r="W17" t="s">
        <v>696</v>
      </c>
      <c r="X17" t="s">
        <v>697</v>
      </c>
    </row>
    <row r="18" spans="1:24">
      <c r="A18" t="s">
        <v>33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168</v>
      </c>
      <c r="N18" t="s">
        <v>169</v>
      </c>
      <c r="O18" t="s">
        <v>435</v>
      </c>
      <c r="P18" t="s">
        <v>465</v>
      </c>
      <c r="Q18" t="s">
        <v>488</v>
      </c>
      <c r="R18" t="s">
        <v>585</v>
      </c>
      <c r="S18" t="s">
        <v>615</v>
      </c>
      <c r="T18" t="s">
        <v>698</v>
      </c>
      <c r="U18" t="s">
        <v>699</v>
      </c>
      <c r="V18" t="s">
        <v>700</v>
      </c>
      <c r="W18" t="s">
        <v>701</v>
      </c>
      <c r="X18" t="s">
        <v>702</v>
      </c>
    </row>
    <row r="19" spans="1:24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182</v>
      </c>
      <c r="N19" t="s">
        <v>183</v>
      </c>
      <c r="O19" t="s">
        <v>436</v>
      </c>
      <c r="P19" t="s">
        <v>466</v>
      </c>
      <c r="Q19" t="s">
        <v>489</v>
      </c>
      <c r="R19" t="s">
        <v>586</v>
      </c>
      <c r="S19" t="s">
        <v>616</v>
      </c>
      <c r="T19" t="s">
        <v>703</v>
      </c>
      <c r="U19" t="s">
        <v>704</v>
      </c>
      <c r="V19" t="s">
        <v>705</v>
      </c>
      <c r="W19" t="s">
        <v>706</v>
      </c>
      <c r="X19" t="s">
        <v>707</v>
      </c>
    </row>
    <row r="20" spans="1:24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 t="s">
        <v>191</v>
      </c>
      <c r="I20" t="s">
        <v>192</v>
      </c>
      <c r="J20" t="s">
        <v>193</v>
      </c>
      <c r="K20" t="s">
        <v>194</v>
      </c>
      <c r="L20" t="s">
        <v>195</v>
      </c>
      <c r="M20" t="s">
        <v>196</v>
      </c>
      <c r="N20" t="s">
        <v>197</v>
      </c>
      <c r="O20" t="s">
        <v>437</v>
      </c>
      <c r="P20" t="s">
        <v>467</v>
      </c>
      <c r="Q20" t="s">
        <v>490</v>
      </c>
      <c r="R20" t="s">
        <v>587</v>
      </c>
      <c r="S20" t="s">
        <v>617</v>
      </c>
      <c r="T20" t="s">
        <v>708</v>
      </c>
      <c r="U20" t="s">
        <v>709</v>
      </c>
      <c r="V20" t="s">
        <v>710</v>
      </c>
      <c r="W20" t="s">
        <v>711</v>
      </c>
      <c r="X20" t="s">
        <v>712</v>
      </c>
    </row>
    <row r="21" spans="1:24">
      <c r="A21" t="s">
        <v>131</v>
      </c>
      <c r="B21" t="s">
        <v>198</v>
      </c>
      <c r="C21" t="s">
        <v>132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t="s">
        <v>207</v>
      </c>
      <c r="M21" t="s">
        <v>208</v>
      </c>
      <c r="N21" t="s">
        <v>209</v>
      </c>
      <c r="O21" t="s">
        <v>438</v>
      </c>
      <c r="P21" t="s">
        <v>468</v>
      </c>
      <c r="Q21" t="s">
        <v>491</v>
      </c>
      <c r="R21" t="s">
        <v>588</v>
      </c>
      <c r="S21" t="s">
        <v>618</v>
      </c>
      <c r="T21" t="s">
        <v>713</v>
      </c>
      <c r="U21" t="s">
        <v>714</v>
      </c>
      <c r="V21" t="s">
        <v>715</v>
      </c>
      <c r="W21" t="s">
        <v>713</v>
      </c>
      <c r="X21" t="s">
        <v>716</v>
      </c>
    </row>
    <row r="22" spans="1:24">
      <c r="A22" t="s">
        <v>18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K22" t="s">
        <v>219</v>
      </c>
      <c r="L22" t="s">
        <v>220</v>
      </c>
      <c r="M22" t="s">
        <v>221</v>
      </c>
      <c r="N22" t="s">
        <v>222</v>
      </c>
      <c r="O22" t="s">
        <v>439</v>
      </c>
      <c r="P22" t="s">
        <v>469</v>
      </c>
      <c r="Q22" t="s">
        <v>492</v>
      </c>
      <c r="R22" t="s">
        <v>589</v>
      </c>
      <c r="S22" t="s">
        <v>619</v>
      </c>
      <c r="T22" t="s">
        <v>717</v>
      </c>
      <c r="U22" t="s">
        <v>718</v>
      </c>
      <c r="V22" t="s">
        <v>719</v>
      </c>
      <c r="W22" t="s">
        <v>720</v>
      </c>
      <c r="X22" t="s">
        <v>721</v>
      </c>
    </row>
    <row r="23" spans="1:24">
      <c r="A23" t="s">
        <v>19</v>
      </c>
      <c r="B23" t="s">
        <v>223</v>
      </c>
      <c r="C23" t="s">
        <v>224</v>
      </c>
      <c r="D23" t="s">
        <v>133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  <c r="L23" t="s">
        <v>232</v>
      </c>
      <c r="M23" t="s">
        <v>233</v>
      </c>
      <c r="N23" t="s">
        <v>234</v>
      </c>
      <c r="O23" t="s">
        <v>440</v>
      </c>
      <c r="P23" t="s">
        <v>470</v>
      </c>
      <c r="Q23" t="s">
        <v>493</v>
      </c>
      <c r="R23" t="s">
        <v>590</v>
      </c>
      <c r="S23" t="s">
        <v>620</v>
      </c>
      <c r="T23" t="s">
        <v>722</v>
      </c>
      <c r="U23" t="s">
        <v>723</v>
      </c>
      <c r="V23" t="s">
        <v>724</v>
      </c>
      <c r="W23" t="s">
        <v>725</v>
      </c>
      <c r="X23" t="s">
        <v>726</v>
      </c>
    </row>
    <row r="24" spans="1:24">
      <c r="A24" t="s">
        <v>20</v>
      </c>
      <c r="B24" t="s">
        <v>235</v>
      </c>
      <c r="C24" t="s">
        <v>236</v>
      </c>
      <c r="D24" t="s">
        <v>134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  <c r="K24" t="s">
        <v>243</v>
      </c>
      <c r="L24" t="s">
        <v>244</v>
      </c>
      <c r="M24" t="s">
        <v>245</v>
      </c>
      <c r="N24" t="s">
        <v>246</v>
      </c>
      <c r="O24" t="s">
        <v>441</v>
      </c>
      <c r="P24" t="s">
        <v>471</v>
      </c>
      <c r="Q24" t="s">
        <v>494</v>
      </c>
      <c r="R24" t="s">
        <v>591</v>
      </c>
      <c r="S24" t="s">
        <v>621</v>
      </c>
      <c r="T24" t="s">
        <v>727</v>
      </c>
      <c r="U24" t="s">
        <v>728</v>
      </c>
      <c r="V24" t="s">
        <v>729</v>
      </c>
      <c r="W24" t="s">
        <v>730</v>
      </c>
      <c r="X24" t="s">
        <v>731</v>
      </c>
    </row>
    <row r="25" spans="1:24">
      <c r="A25" t="s">
        <v>247</v>
      </c>
      <c r="B25" t="s">
        <v>248</v>
      </c>
      <c r="C25" t="s">
        <v>249</v>
      </c>
      <c r="D25" t="s">
        <v>250</v>
      </c>
      <c r="E25" t="s">
        <v>251</v>
      </c>
      <c r="F25" t="s">
        <v>252</v>
      </c>
      <c r="G25" t="s">
        <v>253</v>
      </c>
      <c r="H25" t="s">
        <v>254</v>
      </c>
      <c r="I25" t="s">
        <v>255</v>
      </c>
      <c r="J25" t="s">
        <v>256</v>
      </c>
      <c r="K25" t="s">
        <v>257</v>
      </c>
      <c r="L25" t="s">
        <v>258</v>
      </c>
      <c r="M25" t="s">
        <v>259</v>
      </c>
      <c r="N25" t="s">
        <v>260</v>
      </c>
      <c r="O25" t="s">
        <v>442</v>
      </c>
      <c r="P25" t="s">
        <v>472</v>
      </c>
      <c r="Q25" t="s">
        <v>495</v>
      </c>
      <c r="R25" t="s">
        <v>592</v>
      </c>
      <c r="S25" t="s">
        <v>622</v>
      </c>
      <c r="T25" t="s">
        <v>732</v>
      </c>
      <c r="U25" t="s">
        <v>733</v>
      </c>
      <c r="V25" t="s">
        <v>734</v>
      </c>
      <c r="W25" t="s">
        <v>735</v>
      </c>
      <c r="X25" t="s">
        <v>736</v>
      </c>
    </row>
    <row r="26" spans="1:24">
      <c r="A26" t="s">
        <v>24</v>
      </c>
      <c r="B26" t="s">
        <v>409</v>
      </c>
      <c r="C26" t="s">
        <v>135</v>
      </c>
      <c r="D26" t="s">
        <v>136</v>
      </c>
      <c r="E26" t="s">
        <v>410</v>
      </c>
      <c r="F26" t="s">
        <v>411</v>
      </c>
      <c r="G26" t="s">
        <v>412</v>
      </c>
      <c r="H26" t="s">
        <v>413</v>
      </c>
      <c r="I26" t="s">
        <v>414</v>
      </c>
      <c r="J26" t="s">
        <v>415</v>
      </c>
      <c r="K26" t="s">
        <v>416</v>
      </c>
      <c r="L26" t="s">
        <v>417</v>
      </c>
      <c r="M26" t="s">
        <v>418</v>
      </c>
      <c r="N26" t="s">
        <v>419</v>
      </c>
      <c r="O26" t="s">
        <v>443</v>
      </c>
      <c r="P26" t="s">
        <v>473</v>
      </c>
      <c r="Q26" t="s">
        <v>496</v>
      </c>
      <c r="R26" t="s">
        <v>593</v>
      </c>
      <c r="S26" t="s">
        <v>415</v>
      </c>
      <c r="T26" t="s">
        <v>737</v>
      </c>
      <c r="U26" t="s">
        <v>738</v>
      </c>
      <c r="V26" t="s">
        <v>739</v>
      </c>
      <c r="W26" t="s">
        <v>740</v>
      </c>
      <c r="X26" t="s">
        <v>411</v>
      </c>
    </row>
    <row r="27" spans="1:24" ht="14.25">
      <c r="A27" s="60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I27" t="s">
        <v>269</v>
      </c>
      <c r="J27" t="s">
        <v>270</v>
      </c>
      <c r="K27" t="s">
        <v>271</v>
      </c>
      <c r="L27" t="s">
        <v>272</v>
      </c>
      <c r="M27" t="s">
        <v>273</v>
      </c>
      <c r="N27" t="s">
        <v>274</v>
      </c>
      <c r="O27" t="s">
        <v>444</v>
      </c>
      <c r="P27" t="s">
        <v>474</v>
      </c>
      <c r="Q27" t="s">
        <v>497</v>
      </c>
      <c r="R27" t="s">
        <v>594</v>
      </c>
      <c r="S27" t="s">
        <v>623</v>
      </c>
      <c r="T27" t="s">
        <v>741</v>
      </c>
      <c r="U27" t="s">
        <v>742</v>
      </c>
      <c r="V27" t="s">
        <v>743</v>
      </c>
      <c r="W27" t="s">
        <v>744</v>
      </c>
      <c r="X27" t="s">
        <v>745</v>
      </c>
    </row>
    <row r="28" spans="1:24">
      <c r="A28" t="s">
        <v>29</v>
      </c>
      <c r="B28" t="s">
        <v>275</v>
      </c>
      <c r="C28" t="s">
        <v>276</v>
      </c>
      <c r="D28" t="s">
        <v>137</v>
      </c>
      <c r="E28" t="s">
        <v>277</v>
      </c>
      <c r="F28" t="s">
        <v>278</v>
      </c>
      <c r="G28" t="s">
        <v>279</v>
      </c>
      <c r="H28" t="s">
        <v>280</v>
      </c>
      <c r="I28" t="s">
        <v>281</v>
      </c>
      <c r="J28" t="s">
        <v>282</v>
      </c>
      <c r="K28" t="s">
        <v>283</v>
      </c>
      <c r="L28" t="s">
        <v>284</v>
      </c>
      <c r="M28" t="s">
        <v>285</v>
      </c>
      <c r="N28" t="s">
        <v>286</v>
      </c>
      <c r="O28" t="s">
        <v>445</v>
      </c>
      <c r="P28" t="s">
        <v>475</v>
      </c>
      <c r="Q28" t="s">
        <v>498</v>
      </c>
      <c r="R28" t="s">
        <v>595</v>
      </c>
      <c r="S28" t="s">
        <v>624</v>
      </c>
      <c r="T28" t="s">
        <v>660</v>
      </c>
      <c r="U28" t="s">
        <v>746</v>
      </c>
      <c r="V28" t="s">
        <v>747</v>
      </c>
      <c r="W28" t="s">
        <v>748</v>
      </c>
      <c r="X28" t="s">
        <v>749</v>
      </c>
    </row>
    <row r="29" spans="1:24">
      <c r="A29" t="s">
        <v>35</v>
      </c>
      <c r="B29" t="s">
        <v>287</v>
      </c>
      <c r="C29" t="s">
        <v>288</v>
      </c>
      <c r="D29" t="s">
        <v>289</v>
      </c>
      <c r="E29" t="s">
        <v>290</v>
      </c>
      <c r="F29" t="s">
        <v>291</v>
      </c>
      <c r="G29" t="s">
        <v>292</v>
      </c>
      <c r="H29" t="s">
        <v>293</v>
      </c>
      <c r="I29" t="s">
        <v>294</v>
      </c>
      <c r="J29" t="s">
        <v>295</v>
      </c>
      <c r="K29" t="s">
        <v>296</v>
      </c>
      <c r="L29" t="s">
        <v>297</v>
      </c>
      <c r="M29" t="s">
        <v>298</v>
      </c>
      <c r="N29" t="s">
        <v>299</v>
      </c>
      <c r="O29" t="s">
        <v>446</v>
      </c>
      <c r="P29" t="s">
        <v>476</v>
      </c>
      <c r="Q29" t="s">
        <v>499</v>
      </c>
      <c r="R29" t="s">
        <v>596</v>
      </c>
      <c r="S29" t="s">
        <v>625</v>
      </c>
      <c r="T29" t="s">
        <v>750</v>
      </c>
      <c r="U29" t="s">
        <v>751</v>
      </c>
      <c r="V29" t="s">
        <v>752</v>
      </c>
      <c r="W29" t="s">
        <v>753</v>
      </c>
      <c r="X29" t="s">
        <v>754</v>
      </c>
    </row>
    <row r="30" spans="1:24">
      <c r="A30" t="s">
        <v>300</v>
      </c>
      <c r="B30" t="s">
        <v>301</v>
      </c>
      <c r="C30" t="s">
        <v>302</v>
      </c>
      <c r="D30" t="s">
        <v>303</v>
      </c>
      <c r="E30" t="s">
        <v>304</v>
      </c>
      <c r="F30" t="s">
        <v>305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312</v>
      </c>
      <c r="N30" t="s">
        <v>313</v>
      </c>
      <c r="O30" t="s">
        <v>447</v>
      </c>
      <c r="P30" t="s">
        <v>477</v>
      </c>
      <c r="Q30" t="s">
        <v>500</v>
      </c>
      <c r="R30" t="s">
        <v>597</v>
      </c>
      <c r="S30" t="s">
        <v>626</v>
      </c>
      <c r="T30" t="s">
        <v>755</v>
      </c>
      <c r="U30" t="s">
        <v>756</v>
      </c>
      <c r="V30" t="s">
        <v>757</v>
      </c>
      <c r="W30" t="s">
        <v>758</v>
      </c>
      <c r="X30" t="s">
        <v>759</v>
      </c>
    </row>
    <row r="31" spans="1:24">
      <c r="A31" t="s">
        <v>502</v>
      </c>
      <c r="B31" t="s">
        <v>505</v>
      </c>
      <c r="C31" t="s">
        <v>77</v>
      </c>
      <c r="D31" t="s">
        <v>506</v>
      </c>
      <c r="E31" s="74" t="s">
        <v>507</v>
      </c>
      <c r="F31" t="s">
        <v>508</v>
      </c>
      <c r="G31" t="s">
        <v>509</v>
      </c>
      <c r="H31" t="s">
        <v>510</v>
      </c>
      <c r="I31" t="s">
        <v>511</v>
      </c>
      <c r="J31" s="74" t="s">
        <v>512</v>
      </c>
      <c r="K31" t="s">
        <v>513</v>
      </c>
      <c r="L31" t="s">
        <v>514</v>
      </c>
      <c r="M31" t="s">
        <v>515</v>
      </c>
      <c r="N31" t="s">
        <v>516</v>
      </c>
      <c r="O31" t="s">
        <v>517</v>
      </c>
      <c r="P31" t="s">
        <v>518</v>
      </c>
      <c r="Q31" t="s">
        <v>505</v>
      </c>
      <c r="R31" t="s">
        <v>598</v>
      </c>
      <c r="S31" t="s">
        <v>512</v>
      </c>
      <c r="T31" t="s">
        <v>760</v>
      </c>
      <c r="U31" t="s">
        <v>761</v>
      </c>
      <c r="V31" t="s">
        <v>762</v>
      </c>
      <c r="W31" t="s">
        <v>763</v>
      </c>
      <c r="X31" t="s">
        <v>764</v>
      </c>
    </row>
    <row r="32" spans="1:24">
      <c r="A32" t="s">
        <v>503</v>
      </c>
      <c r="B32" t="s">
        <v>519</v>
      </c>
      <c r="C32" s="74" t="s">
        <v>520</v>
      </c>
      <c r="D32" t="s">
        <v>521</v>
      </c>
      <c r="E32" s="74" t="s">
        <v>522</v>
      </c>
      <c r="F32" t="s">
        <v>523</v>
      </c>
      <c r="G32" t="s">
        <v>524</v>
      </c>
      <c r="H32" s="74" t="s">
        <v>525</v>
      </c>
      <c r="I32" t="s">
        <v>526</v>
      </c>
      <c r="J32" s="74" t="s">
        <v>527</v>
      </c>
      <c r="K32" t="s">
        <v>528</v>
      </c>
      <c r="L32" t="s">
        <v>529</v>
      </c>
      <c r="M32" t="s">
        <v>530</v>
      </c>
      <c r="N32" t="s">
        <v>531</v>
      </c>
      <c r="O32" t="s">
        <v>532</v>
      </c>
      <c r="P32" t="s">
        <v>533</v>
      </c>
      <c r="Q32" t="s">
        <v>519</v>
      </c>
      <c r="R32" t="s">
        <v>599</v>
      </c>
      <c r="S32" t="s">
        <v>627</v>
      </c>
      <c r="T32" t="s">
        <v>531</v>
      </c>
      <c r="U32" t="s">
        <v>765</v>
      </c>
      <c r="V32" t="s">
        <v>766</v>
      </c>
      <c r="W32" t="s">
        <v>531</v>
      </c>
      <c r="X32" t="s">
        <v>767</v>
      </c>
    </row>
    <row r="33" spans="1:24">
      <c r="A33" t="s">
        <v>504</v>
      </c>
      <c r="B33" t="s">
        <v>534</v>
      </c>
      <c r="C33" t="s">
        <v>535</v>
      </c>
      <c r="D33" s="74" t="s">
        <v>536</v>
      </c>
      <c r="E33" s="74" t="s">
        <v>537</v>
      </c>
      <c r="F33" t="s">
        <v>538</v>
      </c>
      <c r="G33" t="s">
        <v>539</v>
      </c>
      <c r="H33" t="s">
        <v>540</v>
      </c>
      <c r="I33" s="74" t="s">
        <v>541</v>
      </c>
      <c r="J33" s="74" t="s">
        <v>542</v>
      </c>
      <c r="K33" t="s">
        <v>543</v>
      </c>
      <c r="L33" t="s">
        <v>544</v>
      </c>
      <c r="M33" t="s">
        <v>545</v>
      </c>
      <c r="N33" t="s">
        <v>546</v>
      </c>
      <c r="O33" t="s">
        <v>547</v>
      </c>
      <c r="P33" t="s">
        <v>544</v>
      </c>
      <c r="Q33" t="s">
        <v>534</v>
      </c>
      <c r="R33" t="s">
        <v>600</v>
      </c>
      <c r="S33" t="s">
        <v>628</v>
      </c>
      <c r="T33" t="s">
        <v>768</v>
      </c>
      <c r="U33" t="s">
        <v>769</v>
      </c>
      <c r="V33" t="s">
        <v>770</v>
      </c>
      <c r="W33" t="s">
        <v>768</v>
      </c>
      <c r="X33" t="s">
        <v>771</v>
      </c>
    </row>
    <row r="34" spans="1:24" ht="12.75" customHeight="1">
      <c r="A34" t="s">
        <v>548</v>
      </c>
      <c r="B34" t="s">
        <v>549</v>
      </c>
      <c r="C34" t="s">
        <v>550</v>
      </c>
      <c r="D34" t="s">
        <v>551</v>
      </c>
      <c r="E34" s="74" t="s">
        <v>552</v>
      </c>
      <c r="F34" t="s">
        <v>553</v>
      </c>
      <c r="G34" t="s">
        <v>554</v>
      </c>
      <c r="H34" t="s">
        <v>555</v>
      </c>
      <c r="I34" t="s">
        <v>556</v>
      </c>
      <c r="J34" t="s">
        <v>557</v>
      </c>
      <c r="K34" t="s">
        <v>558</v>
      </c>
      <c r="L34" s="75" t="s">
        <v>564</v>
      </c>
      <c r="M34" t="s">
        <v>559</v>
      </c>
      <c r="N34" t="s">
        <v>560</v>
      </c>
      <c r="O34" t="s">
        <v>561</v>
      </c>
      <c r="P34" t="s">
        <v>562</v>
      </c>
      <c r="Q34" t="s">
        <v>549</v>
      </c>
      <c r="R34" t="s">
        <v>601</v>
      </c>
      <c r="S34" t="s">
        <v>629</v>
      </c>
      <c r="T34" t="s">
        <v>772</v>
      </c>
      <c r="U34" t="s">
        <v>773</v>
      </c>
      <c r="V34" t="s">
        <v>774</v>
      </c>
      <c r="W34" t="s">
        <v>772</v>
      </c>
      <c r="X34" t="s">
        <v>775</v>
      </c>
    </row>
    <row r="35" spans="1:24">
      <c r="A35" t="s">
        <v>777</v>
      </c>
      <c r="B35" t="s">
        <v>777</v>
      </c>
      <c r="C35" t="s">
        <v>777</v>
      </c>
      <c r="D35" t="s">
        <v>777</v>
      </c>
      <c r="E35" t="s">
        <v>777</v>
      </c>
      <c r="F35" t="s">
        <v>777</v>
      </c>
      <c r="G35" t="s">
        <v>777</v>
      </c>
      <c r="H35" t="s">
        <v>777</v>
      </c>
      <c r="I35" t="s">
        <v>777</v>
      </c>
      <c r="J35" t="s">
        <v>777</v>
      </c>
      <c r="K35" t="s">
        <v>777</v>
      </c>
      <c r="L35" t="s">
        <v>777</v>
      </c>
      <c r="M35" t="s">
        <v>777</v>
      </c>
      <c r="N35" t="s">
        <v>777</v>
      </c>
      <c r="O35" t="s">
        <v>777</v>
      </c>
      <c r="P35" t="s">
        <v>777</v>
      </c>
      <c r="Q35" t="s">
        <v>777</v>
      </c>
      <c r="R35" t="s">
        <v>777</v>
      </c>
      <c r="S35" t="s">
        <v>777</v>
      </c>
      <c r="T35" t="s">
        <v>777</v>
      </c>
      <c r="U35" t="s">
        <v>777</v>
      </c>
      <c r="V35" t="s">
        <v>777</v>
      </c>
      <c r="W35" t="s">
        <v>777</v>
      </c>
      <c r="X35" t="s">
        <v>777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3527F-5234-41D3-904C-7082217957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Active Faults Summary</vt:lpstr>
      <vt:lpstr>Report</vt:lpstr>
      <vt:lpstr>Graph</vt:lpstr>
      <vt:lpstr>Languages</vt:lpstr>
      <vt:lpstr>AllData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cp:keywords/>
  <dc:description/>
  <cp:lastModifiedBy>Sanjaya Abeysinghe</cp:lastModifiedBy>
  <cp:revision/>
  <dcterms:created xsi:type="dcterms:W3CDTF">2009-12-18T16:46:35Z</dcterms:created>
  <dcterms:modified xsi:type="dcterms:W3CDTF">2026-02-22T04:02:42Z</dcterms:modified>
  <cp:category/>
  <cp:contentStatus/>
</cp:coreProperties>
</file>